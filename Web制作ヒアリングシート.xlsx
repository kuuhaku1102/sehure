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ヒアリングシート" sheetId="1" state="visible" r:id="rId1"/>
    <sheet xmlns:r="http://schemas.openxmlformats.org/officeDocument/2006/relationships" name="Web制作ヒアリング" sheetId="2" state="visible" r:id="rId2"/>
    <sheet xmlns:r="http://schemas.openxmlformats.org/officeDocument/2006/relationships" name="案件サマリー" sheetId="3" state="visible" r:id="rId3"/>
    <sheet xmlns:r="http://schemas.openxmlformats.org/officeDocument/2006/relationships" name="Web制作サマリー" sheetId="4" state="visible" r:id="rId4"/>
    <sheet xmlns:r="http://schemas.openxmlformats.org/officeDocument/2006/relationships" name="マスターデータ" sheetId="5" state="visible" r:id="rId5"/>
  </sheets>
  <definedNames>
    <definedName name="_xlnm.Print_Titles" localSheetId="0">'ヒアリングシート'!$1:$5</definedName>
    <definedName name="_xlnm.Print_Titles" localSheetId="1">'Web制作ヒアリング'!$1:$5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23">
    <font>
      <name val="Calibri"/>
      <family val="2"/>
      <color theme="1"/>
      <sz val="11"/>
      <scheme val="minor"/>
    </font>
    <font>
      <name val="Yu Gothic"/>
      <b val="1"/>
      <color rgb="00FFFFFF"/>
      <sz val="20"/>
    </font>
    <font>
      <name val="Yu Gothic"/>
      <color rgb="00FFFFFF"/>
      <sz val="10"/>
    </font>
    <font>
      <name val="Yu Gothic"/>
      <b val="1"/>
      <color rgb="00FFFFFF"/>
      <sz val="12"/>
    </font>
    <font>
      <name val="Yu Gothic"/>
      <b val="1"/>
      <color rgb="00C8A84B"/>
      <sz val="10"/>
    </font>
    <font>
      <name val="Yu Gothic"/>
      <i val="1"/>
      <color rgb="00BBBBBB"/>
      <sz val="10"/>
    </font>
    <font>
      <name val="Yu Gothic"/>
      <b val="1"/>
      <color rgb="001A2B4A"/>
      <sz val="10"/>
    </font>
    <font>
      <name val="Yu Gothic"/>
      <b val="1"/>
      <color rgb="004A90D9"/>
      <sz val="11"/>
    </font>
    <font>
      <name val="Yu Gothic"/>
      <i val="1"/>
      <color rgb="00888888"/>
      <sz val="9"/>
    </font>
    <font>
      <name val="Yu Gothic"/>
      <color rgb="00444444"/>
      <sz val="10"/>
    </font>
    <font>
      <name val="Yu Gothic"/>
      <b val="1"/>
      <color rgb="004A90D9"/>
      <sz val="22"/>
    </font>
    <font>
      <name val="Yu Gothic"/>
      <color rgb="00444444"/>
      <sz val="11"/>
    </font>
    <font>
      <name val="Yu Gothic"/>
      <b val="1"/>
      <color rgb="001A2B4A"/>
      <sz val="11"/>
    </font>
    <font>
      <name val="Yu Gothic"/>
      <b val="1"/>
      <color rgb="00FFFFFF"/>
      <sz val="18"/>
    </font>
    <font>
      <name val="Yu Gothic"/>
      <color rgb="00FFFFFF"/>
      <sz val="9"/>
    </font>
    <font>
      <name val="Yu Gothic"/>
      <b val="1"/>
      <color rgb="004A90D9"/>
      <sz val="12"/>
    </font>
    <font>
      <name val="Yu Gothic"/>
      <b val="1"/>
      <color rgb="001A2B4A"/>
      <sz val="13"/>
    </font>
    <font>
      <name val="Yu Gothic"/>
      <b val="1"/>
      <color rgb="00FFFFFF"/>
      <sz val="14"/>
    </font>
    <font>
      <name val="Yu Gothic"/>
      <b val="1"/>
      <color rgb="00FFFFFF"/>
      <sz val="10"/>
    </font>
    <font>
      <name val="Yu Gothic"/>
      <i val="1"/>
      <color rgb="00444444"/>
      <sz val="9"/>
    </font>
    <font>
      <name val="Yu Gothic"/>
      <i val="1"/>
      <color rgb="00666666"/>
      <sz val="9"/>
    </font>
    <font>
      <name val="Yu Gothic"/>
      <b val="1"/>
      <color rgb="0000796B"/>
      <sz val="22"/>
    </font>
    <font>
      <name val="Yu Gothic"/>
      <b val="1"/>
      <color rgb="0000796B"/>
      <sz val="12"/>
    </font>
  </fonts>
  <fills count="14">
    <fill>
      <patternFill/>
    </fill>
    <fill>
      <patternFill patternType="gray125"/>
    </fill>
    <fill>
      <patternFill patternType="solid">
        <fgColor rgb="001A2B4A"/>
      </patternFill>
    </fill>
    <fill>
      <patternFill patternType="solid">
        <fgColor rgb="004A90D9"/>
      </patternFill>
    </fill>
    <fill>
      <patternFill patternType="solid">
        <fgColor rgb="00EBF3FB"/>
      </patternFill>
    </fill>
    <fill>
      <patternFill patternType="solid">
        <fgColor rgb="00FAFCFF"/>
      </patternFill>
    </fill>
    <fill>
      <patternFill patternType="solid">
        <fgColor rgb="00F5F5F5"/>
      </patternFill>
    </fill>
    <fill>
      <patternFill patternType="solid">
        <fgColor rgb="00D6E8F7"/>
      </patternFill>
    </fill>
    <fill>
      <patternFill patternType="solid">
        <fgColor rgb="00FFFFFF"/>
      </patternFill>
    </fill>
    <fill>
      <patternFill patternType="solid">
        <fgColor rgb="0000796B"/>
      </patternFill>
    </fill>
    <fill>
      <patternFill patternType="solid">
        <fgColor rgb="00E8F5E9"/>
      </patternFill>
    </fill>
    <fill>
      <patternFill patternType="solid">
        <fgColor rgb="00FAFFFE"/>
      </patternFill>
    </fill>
    <fill>
      <patternFill patternType="solid">
        <fgColor rgb="00FFFDE7"/>
      </patternFill>
    </fill>
    <fill>
      <patternFill patternType="solid">
        <fgColor rgb="00E0F2F1"/>
      </patternFill>
    </fill>
  </fills>
  <borders count="11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/>
      <right/>
      <top style="thin">
        <color rgb="00CCCCCC"/>
      </top>
      <bottom/>
      <diagonal/>
    </border>
    <border>
      <left/>
      <right style="thin">
        <color rgb="00CCCCCC"/>
      </right>
      <top style="thin">
        <color rgb="00CCCCCC"/>
      </top>
      <bottom/>
      <diagonal/>
    </border>
    <border>
      <left/>
      <right/>
      <top style="thin">
        <color rgb="00CCCCCC"/>
      </top>
      <bottom style="thin">
        <color rgb="00CCCCCC"/>
      </bottom>
      <diagonal/>
    </border>
    <border>
      <left/>
      <right style="thin">
        <color rgb="00CCCCCC"/>
      </right>
      <top style="thin">
        <color rgb="00CCCCCC"/>
      </top>
      <bottom style="thin">
        <color rgb="00CCCCCC"/>
      </bottom>
      <diagonal/>
    </border>
    <border>
      <left style="thin">
        <color rgb="00CCCCCC"/>
      </left>
      <right/>
      <top/>
      <bottom/>
      <diagonal/>
    </border>
    <border>
      <left/>
      <right style="thin">
        <color rgb="00CCCCCC"/>
      </right>
      <top/>
      <bottom/>
      <diagonal/>
    </border>
    <border>
      <left style="thin">
        <color rgb="00CCCCCC"/>
      </left>
      <right/>
      <top/>
      <bottom style="thin">
        <color rgb="00CCCCCC"/>
      </bottom>
      <diagonal/>
    </border>
    <border>
      <left/>
      <right/>
      <top/>
      <bottom style="thin">
        <color rgb="00CCCCCC"/>
      </bottom>
      <diagonal/>
    </border>
    <border>
      <left/>
      <right style="thin">
        <color rgb="00CCCCCC"/>
      </right>
      <top/>
      <bottom style="thin">
        <color rgb="00CCCCCC"/>
      </bottom>
      <diagonal/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left" vertical="center" indent="1"/>
    </xf>
    <xf numFmtId="0" fontId="5" fillId="5" borderId="1" applyAlignment="1" pivotButton="0" quotePrefix="0" xfId="0">
      <alignment horizontal="left" vertical="center" wrapText="1" indent="1"/>
    </xf>
    <xf numFmtId="0" fontId="6" fillId="4" borderId="1" applyAlignment="1" pivotButton="0" quotePrefix="0" xfId="0">
      <alignment horizontal="left" vertical="center" indent="1"/>
    </xf>
    <xf numFmtId="164" fontId="0" fillId="5" borderId="1" applyAlignment="1" pivotButton="0" quotePrefix="0" xfId="0">
      <alignment horizontal="left" vertical="center" indent="1"/>
    </xf>
    <xf numFmtId="0" fontId="7" fillId="5" borderId="1" applyAlignment="1" pivotButton="0" quotePrefix="0" xfId="0">
      <alignment horizontal="center" vertical="center"/>
    </xf>
    <xf numFmtId="0" fontId="8" fillId="0" borderId="0" applyAlignment="1" pivotButton="0" quotePrefix="0" xfId="0">
      <alignment horizontal="left" vertical="center" indent="1"/>
    </xf>
    <xf numFmtId="0" fontId="9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left" vertical="top" wrapText="1" indent="1"/>
    </xf>
    <xf numFmtId="0" fontId="0" fillId="4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3" fillId="2" borderId="1" applyAlignment="1" pivotButton="0" quotePrefix="0" xfId="0">
      <alignment horizontal="left" vertical="center" indent="1"/>
    </xf>
    <xf numFmtId="0" fontId="10" fillId="6" borderId="1" applyAlignment="1" pivotButton="0" quotePrefix="0" xfId="0">
      <alignment horizontal="center" vertical="center"/>
    </xf>
    <xf numFmtId="0" fontId="11" fillId="0" borderId="0" applyAlignment="1" pivotButton="0" quotePrefix="0" xfId="0">
      <alignment horizontal="left" vertical="center"/>
    </xf>
    <xf numFmtId="0" fontId="12" fillId="6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left" vertical="center" indent="1"/>
    </xf>
    <xf numFmtId="0" fontId="13" fillId="2" borderId="0" applyAlignment="1" pivotButton="0" quotePrefix="0" xfId="0">
      <alignment horizontal="center" vertical="center"/>
    </xf>
    <xf numFmtId="0" fontId="14" fillId="3" borderId="0" applyAlignment="1" pivotButton="0" quotePrefix="0" xfId="0">
      <alignment horizontal="center" vertical="center"/>
    </xf>
    <xf numFmtId="0" fontId="15" fillId="7" borderId="1" applyAlignment="1" pivotButton="0" quotePrefix="0" xfId="0">
      <alignment horizontal="left" vertical="center" wrapText="1" indent="1"/>
    </xf>
    <xf numFmtId="0" fontId="9" fillId="8" borderId="1" applyAlignment="1" pivotButton="0" quotePrefix="0" xfId="0">
      <alignment horizontal="left" vertical="center" wrapText="1" indent="1"/>
    </xf>
    <xf numFmtId="0" fontId="6" fillId="4" borderId="1" applyAlignment="1" pivotButton="0" quotePrefix="0" xfId="0">
      <alignment horizontal="left" vertical="top" indent="1"/>
    </xf>
    <xf numFmtId="0" fontId="9" fillId="8" borderId="1" applyAlignment="1" pivotButton="0" quotePrefix="0" xfId="0">
      <alignment horizontal="left" vertical="top" wrapText="1" indent="1"/>
    </xf>
    <xf numFmtId="0" fontId="16" fillId="6" borderId="1" applyAlignment="1" pivotButton="0" quotePrefix="0" xfId="0">
      <alignment horizontal="center" vertical="center"/>
    </xf>
    <xf numFmtId="0" fontId="17" fillId="2" borderId="0" applyAlignment="1" pivotButton="0" quotePrefix="0" xfId="0">
      <alignment horizontal="center" vertical="center"/>
    </xf>
    <xf numFmtId="0" fontId="18" fillId="3" borderId="1" applyAlignment="1" pivotButton="0" quotePrefix="0" xfId="0">
      <alignment horizontal="left" vertical="center" indent="1"/>
    </xf>
    <xf numFmtId="0" fontId="6" fillId="6" borderId="1" applyAlignment="1" pivotButton="0" quotePrefix="0" xfId="0">
      <alignment horizontal="left" vertical="center" indent="2"/>
    </xf>
    <xf numFmtId="0" fontId="19" fillId="8" borderId="1" applyAlignment="1" pivotButton="0" quotePrefix="0" xfId="0">
      <alignment horizontal="left" vertical="center" indent="1"/>
    </xf>
    <xf numFmtId="0" fontId="0" fillId="0" borderId="2" pivotButton="0" quotePrefix="0" xfId="0"/>
    <xf numFmtId="0" fontId="0" fillId="0" borderId="3" pivotButton="0" quotePrefix="0" xfId="0"/>
    <xf numFmtId="0" fontId="0" fillId="0" borderId="8" pivotButton="0" quotePrefix="0" xfId="0"/>
    <xf numFmtId="0" fontId="0" fillId="0" borderId="9" pivotButton="0" quotePrefix="0" xfId="0"/>
    <xf numFmtId="0" fontId="0" fillId="0" borderId="10" pivotButton="0" quotePrefix="0" xfId="0"/>
    <xf numFmtId="0" fontId="0" fillId="0" borderId="6" pivotButton="0" quotePrefix="0" xfId="0"/>
    <xf numFmtId="0" fontId="0" fillId="0" borderId="7" pivotButton="0" quotePrefix="0" xfId="0"/>
    <xf numFmtId="0" fontId="14" fillId="9" borderId="0" applyAlignment="1" pivotButton="0" quotePrefix="0" xfId="0">
      <alignment horizontal="center" vertical="center"/>
    </xf>
    <xf numFmtId="0" fontId="3" fillId="9" borderId="1" applyAlignment="1" pivotButton="0" quotePrefix="0" xfId="0">
      <alignment horizontal="left" vertical="center"/>
    </xf>
    <xf numFmtId="0" fontId="4" fillId="10" borderId="1" applyAlignment="1" pivotButton="0" quotePrefix="0" xfId="0">
      <alignment horizontal="left" vertical="center" indent="1"/>
    </xf>
    <xf numFmtId="0" fontId="5" fillId="11" borderId="1" applyAlignment="1" pivotButton="0" quotePrefix="0" xfId="0">
      <alignment horizontal="left" vertical="center" wrapText="1" indent="1"/>
    </xf>
    <xf numFmtId="0" fontId="6" fillId="10" borderId="1" applyAlignment="1" pivotButton="0" quotePrefix="0" xfId="0">
      <alignment horizontal="left" vertical="center" indent="1"/>
    </xf>
    <xf numFmtId="0" fontId="5" fillId="11" borderId="1" applyAlignment="1" pivotButton="0" quotePrefix="0" xfId="0">
      <alignment horizontal="left" vertical="top" wrapText="1" indent="1"/>
    </xf>
    <xf numFmtId="0" fontId="0" fillId="10" borderId="1" pivotButton="0" quotePrefix="0" xfId="0"/>
    <xf numFmtId="0" fontId="9" fillId="11" borderId="1" applyAlignment="1" pivotButton="0" quotePrefix="0" xfId="0">
      <alignment horizontal="center" vertical="center"/>
    </xf>
    <xf numFmtId="0" fontId="20" fillId="12" borderId="1" applyAlignment="1" pivotButton="0" quotePrefix="0" xfId="0">
      <alignment horizontal="left" vertical="center" wrapText="1" indent="1"/>
    </xf>
    <xf numFmtId="0" fontId="9" fillId="11" borderId="1" applyAlignment="1" pivotButton="0" quotePrefix="0" xfId="0">
      <alignment horizontal="left" vertical="center" indent="1"/>
    </xf>
    <xf numFmtId="0" fontId="8" fillId="10" borderId="1" applyAlignment="1" pivotButton="0" quotePrefix="0" xfId="0">
      <alignment horizontal="left" vertical="center" indent="1"/>
    </xf>
    <xf numFmtId="0" fontId="5" fillId="11" borderId="1" applyAlignment="1" pivotButton="0" quotePrefix="0" xfId="0">
      <alignment horizontal="center" vertical="center"/>
    </xf>
    <xf numFmtId="164" fontId="0" fillId="11" borderId="1" applyAlignment="1" pivotButton="0" quotePrefix="0" xfId="0">
      <alignment horizontal="left" vertical="center" indent="1"/>
    </xf>
    <xf numFmtId="0" fontId="0" fillId="11" borderId="1" applyAlignment="1" pivotButton="0" quotePrefix="0" xfId="0">
      <alignment horizontal="left" vertical="center" wrapText="1" indent="1"/>
    </xf>
    <xf numFmtId="0" fontId="9" fillId="10" borderId="1" applyAlignment="1" pivotButton="0" quotePrefix="0" xfId="0">
      <alignment horizontal="left" vertical="center" indent="1"/>
    </xf>
    <xf numFmtId="0" fontId="3" fillId="2" borderId="1" applyAlignment="1" pivotButton="0" quotePrefix="0" xfId="0">
      <alignment horizontal="left" vertical="center"/>
    </xf>
    <xf numFmtId="0" fontId="21" fillId="6" borderId="1" applyAlignment="1" pivotButton="0" quotePrefix="0" xfId="0">
      <alignment horizontal="center" vertical="center"/>
    </xf>
    <xf numFmtId="0" fontId="22" fillId="13" borderId="1" applyAlignment="1" pivotButton="0" quotePrefix="0" xfId="0">
      <alignment horizontal="left" vertical="center" wrapText="1" indent="1"/>
    </xf>
    <xf numFmtId="0" fontId="20" fillId="10" borderId="1" applyAlignment="1" pivotButton="0" quotePrefix="0" xfId="0">
      <alignment horizontal="left" vertical="center" indent="1"/>
    </xf>
    <xf numFmtId="0" fontId="9" fillId="10" borderId="1" applyAlignment="1" pivotButton="0" quotePrefix="0" xfId="0">
      <alignment horizontal="left" vertical="center" indent="2"/>
    </xf>
    <xf numFmtId="0" fontId="9" fillId="8" borderId="1" applyAlignment="1" pivotButton="0" quotePrefix="0" xfId="0">
      <alignment horizontal="left" vertical="center" indent="1"/>
    </xf>
  </cellXfs>
  <cellStyles count="1">
    <cellStyle name="Normal" xfId="0" builtinId="0" hidden="0"/>
  </cellStyles>
  <dxfs count="5">
    <dxf>
      <font>
        <name val="Yu Gothic"/>
        <b val="1"/>
        <color rgb="001B5E20"/>
        <sz val="11"/>
      </font>
      <fill>
        <patternFill patternType="solid">
          <fgColor rgb="00C8E6C9"/>
        </patternFill>
      </fill>
    </dxf>
    <dxf>
      <font>
        <name val="Yu Gothic"/>
        <b val="1"/>
        <color rgb="00E65100"/>
        <sz val="11"/>
      </font>
      <fill>
        <patternFill patternType="solid">
          <fgColor rgb="00FFF9C4"/>
        </patternFill>
      </fill>
    </dxf>
    <dxf>
      <font>
        <name val="Yu Gothic"/>
        <b val="1"/>
        <color rgb="00B71C1C"/>
        <sz val="11"/>
      </font>
      <fill>
        <patternFill patternType="solid">
          <fgColor rgb="00FFCDD2"/>
        </patternFill>
      </fill>
    </dxf>
    <dxf>
      <font>
        <name val="Yu Gothic"/>
        <b val="1"/>
        <color rgb="001B5E20"/>
        <sz val="10"/>
      </font>
      <fill>
        <patternFill patternType="solid">
          <fgColor rgb="00C8E6C9"/>
        </patternFill>
      </fill>
    </dxf>
    <dxf>
      <font>
        <name val="Yu Gothic"/>
        <b val="1"/>
        <color rgb="00B71C1C"/>
        <sz val="10"/>
      </font>
      <fill>
        <patternFill patternType="solid">
          <fgColor rgb="00FFCDD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A2B4A"/>
    <outlinePr summaryBelow="1" summaryRight="1"/>
    <pageSetUpPr/>
  </sheetPr>
  <dimension ref="B1:F59"/>
  <sheetViews>
    <sheetView showGridLines="0"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.5" customWidth="1" min="1" max="1"/>
    <col width="24" customWidth="1" min="2" max="2"/>
    <col width="30" customWidth="1" min="3" max="3"/>
    <col width="2" customWidth="1" min="4" max="4"/>
    <col width="24" customWidth="1" min="5" max="5"/>
    <col width="30" customWidth="1" min="6" max="6"/>
    <col width="1.5" customWidth="1" min="7" max="7"/>
  </cols>
  <sheetData>
    <row r="1" ht="18" customHeight="1">
      <c r="B1" s="1" t="inlineStr">
        <is>
          <t>Web 制作  事前ヒアリングシート</t>
        </is>
      </c>
    </row>
    <row r="2" ht="18" customHeight="1"/>
    <row r="3" ht="18" customHeight="1"/>
    <row r="4" ht="18" customHeight="1"/>
    <row r="5" ht="18" customHeight="1">
      <c r="B5" s="2" t="inlineStr">
        <is>
          <t>契約前の事前ヒアリング　　★ = 必須項目</t>
        </is>
      </c>
    </row>
    <row r="7" ht="22" customHeight="1">
      <c r="B7" s="3" t="inlineStr">
        <is>
          <t xml:space="preserve">  ① 基本情報</t>
        </is>
      </c>
      <c r="C7" s="13" t="n"/>
      <c r="D7" s="13" t="n"/>
      <c r="E7" s="13" t="n"/>
      <c r="F7" s="14" t="n"/>
    </row>
    <row r="8" ht="22" customHeight="1">
      <c r="B8" s="4" t="inlineStr">
        <is>
          <t>★ 会社名 / 個人名</t>
        </is>
      </c>
      <c r="C8" s="5" t="inlineStr">
        <is>
          <t>例）株式会社〇〇 / 山田 太郎</t>
        </is>
      </c>
      <c r="D8" s="13" t="n"/>
      <c r="E8" s="13" t="n"/>
      <c r="F8" s="14" t="n"/>
    </row>
    <row r="9" ht="22" customHeight="1">
      <c r="B9" s="6" t="inlineStr">
        <is>
          <t xml:space="preserve">　 担当者名</t>
        </is>
      </c>
      <c r="C9" s="5" t="inlineStr">
        <is>
          <t>例）田中 花子</t>
        </is>
      </c>
      <c r="D9" s="13" t="n"/>
      <c r="E9" s="13" t="n"/>
      <c r="F9" s="14" t="n"/>
    </row>
    <row r="10" ht="22" customHeight="1">
      <c r="B10" s="6" t="inlineStr">
        <is>
          <t xml:space="preserve">　 メールアドレス</t>
        </is>
      </c>
      <c r="C10" s="5" t="inlineStr">
        <is>
          <t>例）info@example.com</t>
        </is>
      </c>
      <c r="D10" s="13" t="n"/>
      <c r="E10" s="13" t="n"/>
      <c r="F10" s="14" t="n"/>
    </row>
    <row r="11" ht="22" customHeight="1">
      <c r="B11" s="6" t="inlineStr">
        <is>
          <t xml:space="preserve">　 電話番号</t>
        </is>
      </c>
      <c r="C11" s="5" t="inlineStr">
        <is>
          <t>例）03-1234-5678</t>
        </is>
      </c>
      <c r="D11" s="13" t="n"/>
      <c r="E11" s="13" t="n"/>
      <c r="F11" s="14" t="n"/>
    </row>
    <row r="12" ht="22" customHeight="1">
      <c r="B12" s="6" t="inlineStr">
        <is>
          <t xml:space="preserve">　 ヒアリング実施日</t>
        </is>
      </c>
      <c r="C12" s="7" t="n"/>
      <c r="E12" s="4" t="inlineStr">
        <is>
          <t>★ 希望納期</t>
        </is>
      </c>
      <c r="F12" s="7" t="n"/>
    </row>
    <row r="13" ht="22" customHeight="1">
      <c r="B13" s="4" t="inlineStr">
        <is>
          <t>★ ご予算（目安）</t>
        </is>
      </c>
      <c r="C13" s="5" t="inlineStr">
        <is>
          <t>例）30〜50万円 / 月額20万円 など</t>
        </is>
      </c>
      <c r="D13" s="13" t="n"/>
      <c r="E13" s="13" t="n"/>
      <c r="F13" s="14" t="n"/>
    </row>
    <row r="14" ht="22" customHeight="1">
      <c r="B14" s="4" t="inlineStr">
        <is>
          <t>★ 依頼の目的・ゴール</t>
        </is>
      </c>
      <c r="C14" s="5" t="inlineStr">
        <is>
          <t>例）問い合わせ件数を増やしたい / 採用強化 / ブランド認知向上</t>
        </is>
      </c>
      <c r="D14" s="13" t="n"/>
      <c r="E14" s="13" t="n"/>
      <c r="F14" s="14" t="n"/>
    </row>
    <row r="16" ht="22" customHeight="1">
      <c r="B16" s="3" t="inlineStr">
        <is>
          <t xml:space="preserve">  ② 優先度・重視ポイント（1つ選択）</t>
        </is>
      </c>
      <c r="C16" s="13" t="n"/>
      <c r="D16" s="13" t="n"/>
      <c r="E16" s="13" t="n"/>
      <c r="F16" s="14" t="n"/>
    </row>
    <row r="17" ht="24" customHeight="1">
      <c r="B17" s="6" t="inlineStr">
        <is>
          <t xml:space="preserve">　 最も重視するポイント</t>
        </is>
      </c>
      <c r="C17" s="8" t="inlineStr">
        <is>
          <t>クオリティー</t>
        </is>
      </c>
      <c r="E17" s="9" t="inlineStr">
        <is>
          <t>制作提案時の重視点として使用します</t>
        </is>
      </c>
    </row>
    <row r="19" ht="22" customHeight="1">
      <c r="B19" s="3" t="inlineStr">
        <is>
          <t xml:space="preserve">  ③ 素材・テキスト準備状況</t>
        </is>
      </c>
      <c r="C19" s="13" t="n"/>
      <c r="D19" s="13" t="n"/>
      <c r="E19" s="13" t="n"/>
      <c r="F19" s="14" t="n"/>
    </row>
    <row r="20" ht="22" customHeight="1">
      <c r="B20" s="6" t="inlineStr">
        <is>
          <t xml:space="preserve">　 テキスト原稿の準備</t>
        </is>
      </c>
      <c r="C20" s="10" t="inlineStr">
        <is>
          <t>なし</t>
        </is>
      </c>
      <c r="E20" s="6" t="inlineStr">
        <is>
          <t xml:space="preserve">　 写真・ロゴ等の素材</t>
        </is>
      </c>
      <c r="F20" s="10" t="inlineStr">
        <is>
          <t>なし（用意が必要）</t>
        </is>
      </c>
    </row>
    <row r="22" ht="22" customHeight="1">
      <c r="B22" s="3" t="inlineStr">
        <is>
          <t xml:space="preserve">  ④ 制作依頼内容</t>
        </is>
      </c>
      <c r="C22" s="13" t="n"/>
      <c r="D22" s="13" t="n"/>
      <c r="E22" s="13" t="n"/>
      <c r="F22" s="14" t="n"/>
    </row>
    <row r="23" ht="22" customHeight="1">
      <c r="B23" s="4" t="inlineStr">
        <is>
          <t>★ 制作範囲</t>
        </is>
      </c>
      <c r="C23" s="10" t="inlineStr">
        <is>
          <t>新規制作</t>
        </is>
      </c>
      <c r="E23" s="6" t="inlineStr">
        <is>
          <t xml:space="preserve">　 依頼内容（複数可）</t>
        </is>
      </c>
      <c r="F23" s="10" t="inlineStr">
        <is>
          <t>デザイン＋コーディング</t>
        </is>
      </c>
    </row>
    <row r="24" ht="22" customHeight="1">
      <c r="B24" s="4" t="inlineStr">
        <is>
          <t>★ LPの内容・ページ概要</t>
        </is>
      </c>
      <c r="C24" s="11" t="inlineStr">
        <is>
          <t>例）美容クリニックの糸リフトLP</t>
        </is>
      </c>
      <c r="D24" s="31" t="n"/>
      <c r="E24" s="31" t="n"/>
      <c r="F24" s="32" t="n"/>
    </row>
    <row r="25" ht="22" customHeight="1">
      <c r="B25" s="12" t="n"/>
      <c r="C25" s="33" t="n"/>
      <c r="D25" s="34" t="n"/>
      <c r="E25" s="34" t="n"/>
      <c r="F25" s="35" t="n"/>
    </row>
    <row r="26" ht="22" customHeight="1">
      <c r="B26" s="6" t="inlineStr">
        <is>
          <t xml:space="preserve">　 機能実装の希望</t>
        </is>
      </c>
      <c r="C26" s="10" t="inlineStr">
        <is>
          <t>未定</t>
        </is>
      </c>
      <c r="E26" s="4" t="inlineStr">
        <is>
          <t>★ 想定するCMS</t>
        </is>
      </c>
      <c r="F26" s="10" t="inlineStr">
        <is>
          <t>WordPress</t>
        </is>
      </c>
    </row>
    <row r="27" ht="22" customHeight="1">
      <c r="B27" s="6" t="inlineStr">
        <is>
          <t xml:space="preserve">　 希望する機能の詳細</t>
        </is>
      </c>
      <c r="C27" s="5" t="inlineStr">
        <is>
          <t>例）会員登録、予約、決済、会員別表示など</t>
        </is>
      </c>
      <c r="D27" s="13" t="n"/>
      <c r="E27" s="13" t="n"/>
      <c r="F27" s="14" t="n"/>
    </row>
    <row r="28" ht="22" customHeight="1">
      <c r="B28" s="6" t="inlineStr">
        <is>
          <t xml:space="preserve">　 フォーム実装</t>
        </is>
      </c>
      <c r="C28" s="10" t="inlineStr">
        <is>
          <t>未定</t>
        </is>
      </c>
    </row>
    <row r="29" ht="22" customHeight="1">
      <c r="B29" s="6" t="inlineStr">
        <is>
          <t xml:space="preserve">　 参考サイト（任意）</t>
        </is>
      </c>
      <c r="C29" s="5" t="inlineStr">
        <is>
          <t>例）https://example.com/</t>
        </is>
      </c>
      <c r="D29" s="13" t="n"/>
      <c r="E29" s="13" t="n"/>
      <c r="F29" s="14" t="n"/>
    </row>
    <row r="31" ht="22" customHeight="1">
      <c r="B31" s="3" t="inlineStr">
        <is>
          <t xml:space="preserve">  ⑤ デザイン希望</t>
        </is>
      </c>
      <c r="C31" s="13" t="n"/>
      <c r="D31" s="13" t="n"/>
      <c r="E31" s="13" t="n"/>
      <c r="F31" s="14" t="n"/>
    </row>
    <row r="32" ht="22" customHeight="1">
      <c r="B32" s="6" t="inlineStr">
        <is>
          <t xml:space="preserve">　 デザインスタイル</t>
        </is>
      </c>
      <c r="C32" s="10" t="inlineStr">
        <is>
          <t>未定</t>
        </is>
      </c>
      <c r="E32" s="6" t="inlineStr">
        <is>
          <t xml:space="preserve">　 アニメーション</t>
        </is>
      </c>
      <c r="F32" s="10" t="inlineStr">
        <is>
          <t>お任せ</t>
        </is>
      </c>
    </row>
    <row r="33" ht="22" customHeight="1">
      <c r="B33" s="6" t="inlineStr">
        <is>
          <t xml:space="preserve">　 クオリティーレベル</t>
        </is>
      </c>
      <c r="C33" s="10" t="inlineStr">
        <is>
          <t>NORMAL</t>
        </is>
      </c>
    </row>
    <row r="35" ht="22" customHeight="1">
      <c r="B35" s="3" t="inlineStr">
        <is>
          <t xml:space="preserve">  ⑥ 公開後・運用体制</t>
        </is>
      </c>
      <c r="C35" s="13" t="n"/>
      <c r="D35" s="13" t="n"/>
      <c r="E35" s="13" t="n"/>
      <c r="F35" s="14" t="n"/>
    </row>
    <row r="36" ht="22" customHeight="1">
      <c r="B36" s="4" t="inlineStr">
        <is>
          <t>★ 公開後の運用体制</t>
        </is>
      </c>
      <c r="C36" s="10" t="inlineStr">
        <is>
          <t>未定</t>
        </is>
      </c>
      <c r="E36" s="6" t="inlineStr">
        <is>
          <t xml:space="preserve">　 アフターサポート希望</t>
        </is>
      </c>
      <c r="F36" s="5" t="inlineStr">
        <is>
          <t>例）月次レポート、セキュリティ更新、トラブル対応</t>
        </is>
      </c>
    </row>
    <row r="38" ht="22" customHeight="1">
      <c r="B38" s="3" t="inlineStr">
        <is>
          <t xml:space="preserve">  ⑦ 技術・環境関連</t>
        </is>
      </c>
      <c r="C38" s="13" t="n"/>
      <c r="D38" s="13" t="n"/>
      <c r="E38" s="13" t="n"/>
      <c r="F38" s="14" t="n"/>
    </row>
    <row r="39" ht="22" customHeight="1">
      <c r="B39" s="4" t="inlineStr">
        <is>
          <t>★ ドメイン・サーバー</t>
        </is>
      </c>
      <c r="C39" s="10" t="inlineStr">
        <is>
          <t>不明</t>
        </is>
      </c>
      <c r="E39" s="4" t="inlineStr">
        <is>
          <t>★ SEO対策の希望</t>
        </is>
      </c>
      <c r="F39" s="10" t="inlineStr">
        <is>
          <t>最低限でよい</t>
        </is>
      </c>
    </row>
    <row r="40" ht="22" customHeight="1">
      <c r="B40" s="6" t="inlineStr">
        <is>
          <t xml:space="preserve">　 SNS連携</t>
        </is>
      </c>
      <c r="C40" s="10" t="inlineStr">
        <is>
          <t>Instagram</t>
        </is>
      </c>
      <c r="D40" s="13" t="n"/>
      <c r="E40" s="13" t="n"/>
      <c r="F40" s="14" t="n"/>
    </row>
    <row r="42" ht="22" customHeight="1">
      <c r="B42" s="3" t="inlineStr">
        <is>
          <t xml:space="preserve">  ⑧ 備考・その他ご要望</t>
        </is>
      </c>
      <c r="C42" s="13" t="n"/>
      <c r="D42" s="13" t="n"/>
      <c r="E42" s="13" t="n"/>
      <c r="F42" s="14" t="n"/>
    </row>
    <row r="43" ht="20" customHeight="1">
      <c r="B43" s="6" t="inlineStr">
        <is>
          <t xml:space="preserve">　 その他ご要望・補足</t>
        </is>
      </c>
      <c r="C43" s="11" t="inlineStr">
        <is>
          <t>自由にご記入ください</t>
        </is>
      </c>
      <c r="D43" s="31" t="n"/>
      <c r="E43" s="31" t="n"/>
      <c r="F43" s="32" t="n"/>
    </row>
    <row r="44" ht="20" customHeight="1">
      <c r="B44" s="12" t="n"/>
      <c r="C44" s="36" t="n"/>
      <c r="F44" s="37" t="n"/>
    </row>
    <row r="45" ht="20" customHeight="1">
      <c r="B45" s="12" t="n"/>
      <c r="C45" s="36" t="n"/>
      <c r="F45" s="37" t="n"/>
    </row>
    <row r="46" ht="20" customHeight="1">
      <c r="B46" s="12" t="n"/>
      <c r="C46" s="33" t="n"/>
      <c r="D46" s="34" t="n"/>
      <c r="E46" s="34" t="n"/>
      <c r="F46" s="35" t="n"/>
    </row>
    <row r="48" ht="22" customHeight="1">
      <c r="B48" s="15" t="inlineStr">
        <is>
          <t xml:space="preserve">  ◆ 入力チェック（必須項目）</t>
        </is>
      </c>
      <c r="C48" s="13" t="n"/>
      <c r="D48" s="13" t="n"/>
      <c r="E48" s="13" t="n"/>
      <c r="F48" s="14" t="n"/>
    </row>
    <row r="49" ht="36" customHeight="1">
      <c r="B49" s="16">
        <f>COUNTA(C8,F12,C13,C14,C23,F26,C36,C39,F39)</f>
        <v/>
      </c>
      <c r="C49" s="14" t="n"/>
      <c r="D49" s="17" t="inlineStr">
        <is>
          <t>/ 9 項目入力済み</t>
        </is>
      </c>
      <c r="E49" s="18">
        <f>IFS(COUNTA(C8,F12,C13,C14,C23,F26,C36,C39,F39)=9,"✔  入力完了 — 送付可能",COUNTA(C8,F12,C13,C14,C23,F26,C36,C39,F39)&gt;=5,"⚠  入力中 — 残り項目あり",TRUE,"✗  未入力項目が多数あります")</f>
        <v/>
      </c>
      <c r="F49" s="14" t="n"/>
    </row>
    <row r="50" ht="16" customHeight="1"/>
    <row r="51" ht="18" customHeight="1">
      <c r="B51" s="18">
        <f>IF(IFERROR(LEN(C8)&gt;0,FALSE),"✔","✗")</f>
        <v/>
      </c>
      <c r="C51" s="19" t="inlineStr">
        <is>
          <t>会社名 / 個人名</t>
        </is>
      </c>
    </row>
    <row r="52" ht="18" customHeight="1">
      <c r="B52" s="18">
        <f>IF(IFERROR(LEN(F12)&gt;0,FALSE),"✔","✗")</f>
        <v/>
      </c>
      <c r="C52" s="19" t="inlineStr">
        <is>
          <t>希望納期</t>
        </is>
      </c>
    </row>
    <row r="53" ht="18" customHeight="1">
      <c r="B53" s="18">
        <f>IF(IFERROR(LEN(C13)&gt;0,FALSE),"✔","✗")</f>
        <v/>
      </c>
      <c r="C53" s="19" t="inlineStr">
        <is>
          <t>ご予算</t>
        </is>
      </c>
    </row>
    <row r="54" ht="18" customHeight="1">
      <c r="B54" s="18">
        <f>IF(IFERROR(LEN(C14)&gt;0,FALSE),"✔","✗")</f>
        <v/>
      </c>
      <c r="C54" s="19" t="inlineStr">
        <is>
          <t>依頼の目的・ゴール</t>
        </is>
      </c>
    </row>
    <row r="55" ht="18" customHeight="1">
      <c r="B55" s="18">
        <f>IF(IFERROR(LEN(C23)&gt;0,FALSE),"✔","✗")</f>
        <v/>
      </c>
      <c r="C55" s="19" t="inlineStr">
        <is>
          <t>制作範囲</t>
        </is>
      </c>
    </row>
    <row r="56" ht="18" customHeight="1">
      <c r="B56" s="18">
        <f>IF(IFERROR(LEN(F26)&gt;0,FALSE),"✔","✗")</f>
        <v/>
      </c>
      <c r="C56" s="19" t="inlineStr">
        <is>
          <t>想定するCMS</t>
        </is>
      </c>
    </row>
    <row r="57" ht="18" customHeight="1">
      <c r="B57" s="18">
        <f>IF(IFERROR(LEN(C36)&gt;0,FALSE),"✔","✗")</f>
        <v/>
      </c>
      <c r="C57" s="19" t="inlineStr">
        <is>
          <t>公開後の運用体制</t>
        </is>
      </c>
    </row>
    <row r="58" ht="18" customHeight="1">
      <c r="B58" s="18">
        <f>IF(IFERROR(LEN(C39)&gt;0,FALSE),"✔","✗")</f>
        <v/>
      </c>
      <c r="C58" s="19" t="inlineStr">
        <is>
          <t>ドメイン・サーバー</t>
        </is>
      </c>
    </row>
    <row r="59" ht="18" customHeight="1">
      <c r="B59" s="18">
        <f>IF(IFERROR(LEN(F39)&gt;0,FALSE),"✔","✗")</f>
        <v/>
      </c>
      <c r="C59" s="19" t="inlineStr">
        <is>
          <t>SEO対策の希望</t>
        </is>
      </c>
    </row>
  </sheetData>
  <mergeCells count="25">
    <mergeCell ref="B7:F7"/>
    <mergeCell ref="C8:F8"/>
    <mergeCell ref="B16:F16"/>
    <mergeCell ref="B31:F31"/>
    <mergeCell ref="B1:F4"/>
    <mergeCell ref="B22:F22"/>
    <mergeCell ref="E17:F17"/>
    <mergeCell ref="C13:F13"/>
    <mergeCell ref="B48:F48"/>
    <mergeCell ref="B42:F42"/>
    <mergeCell ref="C14:F14"/>
    <mergeCell ref="C43:F46"/>
    <mergeCell ref="B38:F38"/>
    <mergeCell ref="E49:F49"/>
    <mergeCell ref="B19:F19"/>
    <mergeCell ref="C29:F29"/>
    <mergeCell ref="C10:F10"/>
    <mergeCell ref="B49:C49"/>
    <mergeCell ref="C40:F40"/>
    <mergeCell ref="C9:F9"/>
    <mergeCell ref="B5:F5"/>
    <mergeCell ref="C11:F11"/>
    <mergeCell ref="C27:F27"/>
    <mergeCell ref="C24:F25"/>
    <mergeCell ref="B35:F35"/>
  </mergeCells>
  <conditionalFormatting sqref="E49:F49">
    <cfRule type="expression" priority="1" dxfId="0">
      <formula>COUNTA(C8,F12,C13,C14,C23,F26,C36,C39,F39)=9</formula>
    </cfRule>
    <cfRule type="expression" priority="2" dxfId="1">
      <formula>AND(COUNTA(C8,F12,C13,C14,C23,F26,C36,C39,F39)&gt;=5,COUNTA(C8,F12,C13,C14,C23,F26,C36,C39,F39)&lt;9)</formula>
    </cfRule>
    <cfRule type="expression" priority="3" dxfId="2">
      <formula>COUNTA(C8,F12,C13,C14,C23,F26,C36,C39,F39)&lt;5</formula>
    </cfRule>
  </conditionalFormatting>
  <conditionalFormatting sqref="B51:C51">
    <cfRule type="expression" priority="4" dxfId="3">
      <formula>LEN(C8)&gt;0</formula>
    </cfRule>
    <cfRule type="expression" priority="5" dxfId="4">
      <formula>LEN(C8)=0</formula>
    </cfRule>
  </conditionalFormatting>
  <conditionalFormatting sqref="B52:C52">
    <cfRule type="expression" priority="6" dxfId="3">
      <formula>LEN(F12)&gt;0</formula>
    </cfRule>
    <cfRule type="expression" priority="7" dxfId="4">
      <formula>LEN(F12)=0</formula>
    </cfRule>
  </conditionalFormatting>
  <conditionalFormatting sqref="B53:C53">
    <cfRule type="expression" priority="8" dxfId="3">
      <formula>LEN(C13)&gt;0</formula>
    </cfRule>
    <cfRule type="expression" priority="9" dxfId="4">
      <formula>LEN(C13)=0</formula>
    </cfRule>
  </conditionalFormatting>
  <conditionalFormatting sqref="B54:C54">
    <cfRule type="expression" priority="10" dxfId="3">
      <formula>LEN(C14)&gt;0</formula>
    </cfRule>
    <cfRule type="expression" priority="11" dxfId="4">
      <formula>LEN(C14)=0</formula>
    </cfRule>
  </conditionalFormatting>
  <conditionalFormatting sqref="B55:C55">
    <cfRule type="expression" priority="12" dxfId="3">
      <formula>LEN(C23)&gt;0</formula>
    </cfRule>
    <cfRule type="expression" priority="13" dxfId="4">
      <formula>LEN(C23)=0</formula>
    </cfRule>
  </conditionalFormatting>
  <conditionalFormatting sqref="B56:C56">
    <cfRule type="expression" priority="14" dxfId="3">
      <formula>LEN(F26)&gt;0</formula>
    </cfRule>
    <cfRule type="expression" priority="15" dxfId="4">
      <formula>LEN(F26)=0</formula>
    </cfRule>
  </conditionalFormatting>
  <conditionalFormatting sqref="B57:C57">
    <cfRule type="expression" priority="16" dxfId="3">
      <formula>LEN(C36)&gt;0</formula>
    </cfRule>
    <cfRule type="expression" priority="17" dxfId="4">
      <formula>LEN(C36)=0</formula>
    </cfRule>
  </conditionalFormatting>
  <conditionalFormatting sqref="B58:C58">
    <cfRule type="expression" priority="18" dxfId="3">
      <formula>LEN(C39)&gt;0</formula>
    </cfRule>
    <cfRule type="expression" priority="19" dxfId="4">
      <formula>LEN(C39)=0</formula>
    </cfRule>
  </conditionalFormatting>
  <conditionalFormatting sqref="B59:C59">
    <cfRule type="expression" priority="20" dxfId="3">
      <formula>LEN(F39)&gt;0</formula>
    </cfRule>
    <cfRule type="expression" priority="21" dxfId="4">
      <formula>LEN(F39)=0</formula>
    </cfRule>
  </conditionalFormatting>
  <dataValidations count="15">
    <dataValidation sqref="C17" showDropDown="0" showInputMessage="0" showErrorMessage="1" allowBlank="1" errorTitle="入力エラー" error="リストから選択してください" type="list">
      <formula1>"クオリティー,コスト,速さ,機能性"</formula1>
    </dataValidation>
    <dataValidation sqref="C20" showDropDown="0" showInputMessage="0" showErrorMessage="1" allowBlank="1" errorTitle="入力エラー" error="リストから選択してください" type="list">
      <formula1>"あり,なし"</formula1>
    </dataValidation>
    <dataValidation sqref="F20" showDropDown="0" showInputMessage="0" showErrorMessage="1" allowBlank="1" errorTitle="入力エラー" error="リストから選択してください" type="list">
      <formula1>"あり,なし（用意が必要）,一部あり"</formula1>
    </dataValidation>
    <dataValidation sqref="C23" showDropDown="0" showInputMessage="0" showErrorMessage="1" allowBlank="1" errorTitle="入力エラー" error="リストから選択してください" type="list">
      <formula1>"新規制作,リニューアル,一部修正"</formula1>
    </dataValidation>
    <dataValidation sqref="F23" showDropDown="0" showInputMessage="0" showErrorMessage="1" allowBlank="1" errorTitle="入力エラー" error="リストから選択してください" type="list">
      <formula1>"テキスト,デザイン,コーディング,テキスト＋デザイン,デザイン＋コーディング,全て"</formula1>
    </dataValidation>
    <dataValidation sqref="C26" showDropDown="0" showInputMessage="0" showErrorMessage="1" allowBlank="1" errorTitle="入力エラー" error="リストから選択してください" type="list">
      <formula1>"あり,なし,未定"</formula1>
    </dataValidation>
    <dataValidation sqref="F26" showDropDown="0" showInputMessage="0" showErrorMessage="1" allowBlank="1" errorTitle="入力エラー" error="リストから選択してください" type="list">
      <formula1>"WordPress,Shopify,MakeShop,Wix,STUDIO,不明,その他"</formula1>
    </dataValidation>
    <dataValidation sqref="C28" showDropDown="0" showInputMessage="0" showErrorMessage="1" allowBlank="1" errorTitle="入力エラー" error="リストから選択してください" type="list">
      <formula1>"あり,なし,未定"</formula1>
    </dataValidation>
    <dataValidation sqref="C32" showDropDown="0" showInputMessage="0" showErrorMessage="1" allowBlank="1" errorTitle="入力エラー" error="リストから選択してください" type="list">
      <formula1>"シンプル,高級感,ポップ,ナチュラル,クール,未定"</formula1>
    </dataValidation>
    <dataValidation sqref="F32" showDropDown="0" showInputMessage="0" showErrorMessage="1" allowBlank="1" errorTitle="入力エラー" error="リストから選択してください" type="list">
      <formula1>"ダイナミックアニメーション（かなり動きます）,少なめ,お任せ,無し"</formula1>
    </dataValidation>
    <dataValidation sqref="C33" showDropDown="0" showInputMessage="0" showErrorMessage="1" allowBlank="1" errorTitle="入力エラー" error="リストから選択してください" type="list">
      <formula1>"ハイクオリティー（ダイナミックアニメーションや機能性LP）,NORMAL,画像ベース"</formula1>
    </dataValidation>
    <dataValidation sqref="C36" showDropDown="0" showInputMessage="0" showErrorMessage="1" allowBlank="1" errorTitle="入力エラー" error="リストから選択してください" type="list">
      <formula1>"自社で更新したい,運用も依頼したい,未定"</formula1>
    </dataValidation>
    <dataValidation sqref="C39" showDropDown="0" showInputMessage="0" showErrorMessage="1" allowBlank="1" errorTitle="入力エラー" error="リストから選択してください" type="list">
      <formula1>"取得・契約済み,未取得（依頼希望）,不明"</formula1>
    </dataValidation>
    <dataValidation sqref="F39" showDropDown="0" showInputMessage="0" showErrorMessage="1" allowBlank="1" errorTitle="入力エラー" error="リストから選択してください" type="list">
      <formula1>"強く希望する,最低限でよい,不要"</formula1>
    </dataValidation>
    <dataValidation sqref="C40" showDropDown="0" showInputMessage="0" showErrorMessage="1" allowBlank="1" errorTitle="入力エラー" error="リストから選択してください" type="list">
      <formula1>"Instagram,X（旧Twitter）,Facebook,LINE,Instagram＋X,Instagram＋LINE,その他,不要"</formula1>
    </dataValidation>
  </dataValidations>
  <pageMargins left="0.5" right="0.5" top="0.75" bottom="0.75" header="0.5" footer="0.5"/>
  <pageSetup orientation="portrait" paperSize="9"/>
</worksheet>
</file>

<file path=xl/worksheets/sheet2.xml><?xml version="1.0" encoding="utf-8"?>
<worksheet xmlns="http://schemas.openxmlformats.org/spreadsheetml/2006/main">
  <sheetPr>
    <tabColor rgb="0000796B"/>
    <outlinePr summaryBelow="1" summaryRight="1"/>
    <pageSetUpPr/>
  </sheetPr>
  <dimension ref="B1:F79"/>
  <sheetViews>
    <sheetView showGridLines="0"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.5" customWidth="1" min="1" max="1"/>
    <col width="26" customWidth="1" min="2" max="2"/>
    <col width="32" customWidth="1" min="3" max="3"/>
    <col width="2" customWidth="1" min="4" max="4"/>
    <col width="26" customWidth="1" min="5" max="5"/>
    <col width="32" customWidth="1" min="6" max="6"/>
    <col width="1.5" customWidth="1" min="7" max="7"/>
  </cols>
  <sheetData>
    <row r="1" ht="18" customHeight="1">
      <c r="B1" s="1" t="inlineStr">
        <is>
          <t>Web 制作  ヒアリングシート</t>
        </is>
      </c>
    </row>
    <row r="2" ht="18" customHeight="1"/>
    <row r="3" ht="18" customHeight="1"/>
    <row r="4" ht="18" customHeight="1"/>
    <row r="5" ht="16" customHeight="1">
      <c r="B5" s="38" t="inlineStr">
        <is>
          <t>契約後の詳細ヒアリング　　★ = 必須項目</t>
        </is>
      </c>
    </row>
    <row r="7" ht="24" customHeight="1">
      <c r="B7" s="39" t="inlineStr">
        <is>
          <t xml:space="preserve">  ① ライティング</t>
        </is>
      </c>
      <c r="C7" s="13" t="n"/>
      <c r="D7" s="13" t="n"/>
      <c r="E7" s="13" t="n"/>
      <c r="F7" s="14" t="n"/>
    </row>
    <row r="8" ht="22" customHeight="1">
      <c r="B8" s="40" t="inlineStr">
        <is>
          <t>★ 会社名 / 個人名</t>
        </is>
      </c>
      <c r="C8" s="41" t="inlineStr">
        <is>
          <t>例）株式会社〇〇 / 山田 太郎</t>
        </is>
      </c>
      <c r="D8" s="13" t="n"/>
      <c r="E8" s="13" t="n"/>
      <c r="F8" s="14" t="n"/>
    </row>
    <row r="9" ht="22" customHeight="1">
      <c r="B9" s="42" t="inlineStr">
        <is>
          <t xml:space="preserve">　 既存サイト URL</t>
        </is>
      </c>
      <c r="C9" s="43" t="inlineStr">
        <is>
          <t>URLを記載してください。改行で複数指定可</t>
        </is>
      </c>
      <c r="D9" s="31" t="n"/>
      <c r="E9" s="31" t="n"/>
      <c r="F9" s="32" t="n"/>
    </row>
    <row r="10" ht="22" customHeight="1">
      <c r="B10" s="44" t="n"/>
      <c r="C10" s="33" t="n"/>
      <c r="D10" s="34" t="n"/>
      <c r="E10" s="34" t="n"/>
      <c r="F10" s="35" t="n"/>
    </row>
    <row r="11" ht="22" customHeight="1">
      <c r="B11" s="40" t="inlineStr">
        <is>
          <t>★ テキストの準備</t>
        </is>
      </c>
      <c r="C11" s="45" t="inlineStr">
        <is>
          <t>なし</t>
        </is>
      </c>
      <c r="E11" s="42" t="inlineStr">
        <is>
          <t xml:space="preserve">　 ブランドトーン</t>
        </is>
      </c>
      <c r="F11" s="45" t="inlineStr">
        <is>
          <t>フレンドリー</t>
        </is>
      </c>
    </row>
    <row r="12" ht="22" customHeight="1">
      <c r="B12" s="40" t="inlineStr">
        <is>
          <t>★ 事業概要</t>
        </is>
      </c>
      <c r="C12" s="43" t="inlineStr">
        <is>
          <t>事業内容・提供価値・沿革・強みなど</t>
        </is>
      </c>
      <c r="D12" s="31" t="n"/>
      <c r="E12" s="31" t="n"/>
      <c r="F12" s="32" t="n"/>
    </row>
    <row r="13" ht="22" customHeight="1">
      <c r="B13" s="44" t="n"/>
      <c r="C13" s="36" t="n"/>
      <c r="F13" s="37" t="n"/>
    </row>
    <row r="14" ht="22" customHeight="1">
      <c r="B14" s="44" t="n"/>
      <c r="C14" s="33" t="n"/>
      <c r="D14" s="34" t="n"/>
      <c r="E14" s="34" t="n"/>
      <c r="F14" s="35" t="n"/>
    </row>
    <row r="15" ht="22" customHeight="1">
      <c r="B15" s="42" t="inlineStr">
        <is>
          <t xml:space="preserve">　 提供サービス</t>
        </is>
      </c>
      <c r="C15" s="43" t="inlineStr">
        <is>
          <t>主力/周辺サービスや商品、価格帯</t>
        </is>
      </c>
      <c r="D15" s="31" t="n"/>
      <c r="E15" s="31" t="n"/>
      <c r="F15" s="32" t="n"/>
    </row>
    <row r="16" ht="22" customHeight="1">
      <c r="B16" s="44" t="n"/>
      <c r="C16" s="33" t="n"/>
      <c r="D16" s="34" t="n"/>
      <c r="E16" s="34" t="n"/>
      <c r="F16" s="35" t="n"/>
    </row>
    <row r="17" ht="22" customHeight="1">
      <c r="B17" s="42" t="inlineStr">
        <is>
          <t xml:space="preserve">　 ターゲット</t>
        </is>
      </c>
      <c r="C17" s="43" t="inlineStr">
        <is>
          <t>性別/年代/地域/課題/購買動機など</t>
        </is>
      </c>
      <c r="D17" s="31" t="n"/>
      <c r="E17" s="31" t="n"/>
      <c r="F17" s="32" t="n"/>
    </row>
    <row r="18" ht="22" customHeight="1">
      <c r="B18" s="44" t="n"/>
      <c r="C18" s="33" t="n"/>
      <c r="D18" s="34" t="n"/>
      <c r="E18" s="34" t="n"/>
      <c r="F18" s="35" t="n"/>
    </row>
    <row r="19" ht="22" customHeight="1">
      <c r="B19" s="42" t="inlineStr">
        <is>
          <t xml:space="preserve">　 競合 / 参考 URL ①</t>
        </is>
      </c>
      <c r="C19" s="41" t="inlineStr">
        <is>
          <t>https://</t>
        </is>
      </c>
      <c r="D19" s="13" t="n"/>
      <c r="E19" s="13" t="n"/>
      <c r="F19" s="14" t="n"/>
    </row>
    <row r="20" ht="22" customHeight="1">
      <c r="B20" s="42" t="inlineStr">
        <is>
          <t xml:space="preserve">　 競合 / 参考 URL ②</t>
        </is>
      </c>
      <c r="C20" s="41" t="inlineStr">
        <is>
          <t>https://</t>
        </is>
      </c>
      <c r="D20" s="13" t="n"/>
      <c r="E20" s="13" t="n"/>
      <c r="F20" s="14" t="n"/>
    </row>
    <row r="21" ht="22" customHeight="1">
      <c r="B21" s="42" t="inlineStr">
        <is>
          <t xml:space="preserve">　 競合 / 参考 URL ③</t>
        </is>
      </c>
      <c r="C21" s="41" t="inlineStr">
        <is>
          <t>https://</t>
        </is>
      </c>
      <c r="D21" s="13" t="n"/>
      <c r="E21" s="13" t="n"/>
      <c r="F21" s="14" t="n"/>
    </row>
    <row r="22" ht="22" customHeight="1">
      <c r="B22" s="42" t="inlineStr">
        <is>
          <t xml:space="preserve">　 主要 CTA</t>
        </is>
      </c>
      <c r="C22" s="41" t="inlineStr">
        <is>
          <t>例）お問い合わせ / 資料請求 / 予約 など</t>
        </is>
      </c>
      <c r="D22" s="13" t="n"/>
      <c r="E22" s="13" t="n"/>
      <c r="F22" s="14" t="n"/>
    </row>
    <row r="23" ht="22" customHeight="1">
      <c r="B23" s="42" t="inlineStr">
        <is>
          <t xml:space="preserve">　 サイトマップ案</t>
        </is>
      </c>
      <c r="C23" s="43" t="inlineStr">
        <is>
          <t>TOP / 会社情報 / 事業内容 / 実績 / 採用 / お問い合わせ など</t>
        </is>
      </c>
      <c r="D23" s="31" t="n"/>
      <c r="E23" s="31" t="n"/>
      <c r="F23" s="32" t="n"/>
    </row>
    <row r="24" ht="22" customHeight="1">
      <c r="B24" s="44" t="n"/>
      <c r="C24" s="33" t="n"/>
      <c r="D24" s="34" t="n"/>
      <c r="E24" s="34" t="n"/>
      <c r="F24" s="35" t="n"/>
    </row>
    <row r="25" ht="22" customHeight="1">
      <c r="B25" s="42" t="inlineStr">
        <is>
          <t xml:space="preserve">　 SEO キーワード候補</t>
        </is>
      </c>
      <c r="C25" s="41" t="inlineStr">
        <is>
          <t>カンマまたは改行で区切って記入</t>
        </is>
      </c>
      <c r="D25" s="13" t="n"/>
      <c r="E25" s="13" t="n"/>
      <c r="F25" s="14" t="n"/>
    </row>
    <row r="26" ht="22" customHeight="1">
      <c r="B26" s="42" t="inlineStr">
        <is>
          <t xml:space="preserve">　 NG ワード・避けたい表現</t>
        </is>
      </c>
      <c r="C26" s="41" t="inlineStr">
        <is>
          <t>例）競合他社名、特定の表現など</t>
        </is>
      </c>
      <c r="D26" s="13" t="n"/>
      <c r="E26" s="13" t="n"/>
      <c r="F26" s="14" t="n"/>
    </row>
    <row r="27" ht="22" customHeight="1">
      <c r="B27" s="40" t="inlineStr">
        <is>
          <t>★ サイト・ページのタイトル</t>
        </is>
      </c>
      <c r="C27" s="41" t="inlineStr">
        <is>
          <t>制作するサイトのタイトルを入力してください</t>
        </is>
      </c>
      <c r="D27" s="13" t="n"/>
      <c r="E27" s="13" t="n"/>
      <c r="F27" s="14" t="n"/>
    </row>
    <row r="28" ht="22" customHeight="1">
      <c r="B28" s="40" t="inlineStr">
        <is>
          <t>★ サイトの説明文（ディスクリプション）</t>
        </is>
      </c>
      <c r="C28" s="43" t="inlineStr">
        <is>
          <t>サイトの説明文を入力してください</t>
        </is>
      </c>
      <c r="D28" s="31" t="n"/>
      <c r="E28" s="31" t="n"/>
      <c r="F28" s="32" t="n"/>
    </row>
    <row r="29" ht="22" customHeight="1">
      <c r="B29" s="44" t="n"/>
      <c r="C29" s="33" t="n"/>
      <c r="D29" s="34" t="n"/>
      <c r="E29" s="34" t="n"/>
      <c r="F29" s="35" t="n"/>
    </row>
    <row r="31" ht="24" customHeight="1">
      <c r="B31" s="39" t="inlineStr">
        <is>
          <t xml:space="preserve">  ② デザイン制作</t>
        </is>
      </c>
      <c r="C31" s="13" t="n"/>
      <c r="D31" s="13" t="n"/>
      <c r="E31" s="13" t="n"/>
      <c r="F31" s="14" t="n"/>
    </row>
    <row r="32" ht="30" customHeight="1">
      <c r="B32" s="46" t="inlineStr">
        <is>
          <t xml:space="preserve">　SPのみ選択 → SPのみデザイン制作　／　PCデザイン選択 → PCのみ制作　／　PC＋SP両方ご希望の場合は別途費用が追加となります</t>
        </is>
      </c>
      <c r="C32" s="13" t="n"/>
      <c r="D32" s="13" t="n"/>
      <c r="E32" s="13" t="n"/>
      <c r="F32" s="14" t="n"/>
    </row>
    <row r="33" ht="22" customHeight="1">
      <c r="B33" s="40" t="inlineStr">
        <is>
          <t>★ PCデザイン</t>
        </is>
      </c>
      <c r="C33" s="45" t="inlineStr">
        <is>
          <t>PCデザイン</t>
        </is>
      </c>
      <c r="E33" s="40" t="inlineStr">
        <is>
          <t>★ 参考サイト URL ①</t>
        </is>
      </c>
      <c r="F33" s="41" t="inlineStr">
        <is>
          <t>https://</t>
        </is>
      </c>
    </row>
    <row r="34" ht="22" customHeight="1">
      <c r="B34" s="42" t="inlineStr">
        <is>
          <t xml:space="preserve">　 参考サイト URL ②</t>
        </is>
      </c>
      <c r="C34" s="41" t="inlineStr">
        <is>
          <t>https://</t>
        </is>
      </c>
      <c r="E34" s="42" t="inlineStr">
        <is>
          <t xml:space="preserve">　 参考サイト URL ③</t>
        </is>
      </c>
      <c r="F34" s="41" t="inlineStr">
        <is>
          <t>https://</t>
        </is>
      </c>
    </row>
    <row r="35" ht="22" customHeight="1">
      <c r="B35" s="42" t="inlineStr">
        <is>
          <t xml:space="preserve">　 参考サイト URL ④</t>
        </is>
      </c>
      <c r="C35" s="41" t="inlineStr">
        <is>
          <t>https://</t>
        </is>
      </c>
      <c r="E35" s="42" t="inlineStr">
        <is>
          <t xml:space="preserve">　 参考サイト URL ⑤</t>
        </is>
      </c>
      <c r="F35" s="41" t="inlineStr">
        <is>
          <t>https://</t>
        </is>
      </c>
    </row>
    <row r="36" ht="22" customHeight="1">
      <c r="B36" s="42" t="inlineStr">
        <is>
          <t xml:space="preserve">　 ロゴの有無</t>
        </is>
      </c>
      <c r="C36" s="45" t="inlineStr">
        <is>
          <t>なし</t>
        </is>
      </c>
      <c r="E36" s="42" t="inlineStr">
        <is>
          <t xml:space="preserve">　 ブランドカラー</t>
        </is>
      </c>
      <c r="F36" s="41" t="inlineStr">
        <is>
          <t>#111111, #C81E1E など</t>
        </is>
      </c>
    </row>
    <row r="37" ht="22" customHeight="1">
      <c r="B37" s="42" t="inlineStr">
        <is>
          <t xml:space="preserve">　 ロゴ / ブランドガイド添付 URL</t>
        </is>
      </c>
      <c r="C37" s="41" t="inlineStr">
        <is>
          <t>ギガファイル便等のURLを記載してください</t>
        </is>
      </c>
      <c r="E37" s="42" t="inlineStr">
        <is>
          <t xml:space="preserve">　 使用したいフォント</t>
        </is>
      </c>
      <c r="F37" s="41" t="inlineStr">
        <is>
          <t>例）Noto Sans JP / 游ゴシック など</t>
        </is>
      </c>
    </row>
    <row r="38" ht="22" customHeight="1">
      <c r="B38" s="42" t="inlineStr">
        <is>
          <t xml:space="preserve">　 写真 / 素材の有無</t>
        </is>
      </c>
      <c r="C38" s="45" t="inlineStr">
        <is>
          <t>素材探し希望</t>
        </is>
      </c>
      <c r="E38" s="42" t="inlineStr">
        <is>
          <t xml:space="preserve">　 写真 / 素材アップロード URL</t>
        </is>
      </c>
      <c r="F38" s="41" t="inlineStr">
        <is>
          <t>ギガファイル便等のURLを記載してください</t>
        </is>
      </c>
    </row>
    <row r="39" ht="22" customHeight="1">
      <c r="B39" s="42" t="inlineStr">
        <is>
          <t xml:space="preserve">　 サイトで使用したいカラー</t>
        </is>
      </c>
      <c r="C39" s="41" t="inlineStr">
        <is>
          <t>#000000, #FFFFFF など</t>
        </is>
      </c>
      <c r="E39" s="42" t="inlineStr">
        <is>
          <t xml:space="preserve">　 素材ファイルの添付 URL</t>
        </is>
      </c>
      <c r="F39" s="41" t="inlineStr">
        <is>
          <t>https://</t>
        </is>
      </c>
    </row>
    <row r="40" ht="22" customHeight="1">
      <c r="B40" s="42" t="inlineStr">
        <is>
          <t xml:space="preserve">　 デザインのムード（複数選択可）</t>
        </is>
      </c>
      <c r="C40" s="13" t="n"/>
      <c r="D40" s="13" t="n"/>
      <c r="E40" s="13" t="n"/>
      <c r="F40" s="14" t="n"/>
    </row>
    <row r="41" ht="22" customHeight="1">
      <c r="B41" s="47" t="inlineStr">
        <is>
          <t>シンプル</t>
        </is>
      </c>
      <c r="C41" s="13" t="n"/>
      <c r="D41" s="13" t="n"/>
      <c r="E41" s="13" t="n"/>
      <c r="F41" s="14" t="n"/>
    </row>
    <row r="42" ht="18" customHeight="1">
      <c r="B42" s="48" t="inlineStr">
        <is>
          <t xml:space="preserve">　 ※ 上記以外のムード・補足があれば自由記入</t>
        </is>
      </c>
      <c r="C42" s="13" t="n"/>
      <c r="D42" s="13" t="n"/>
      <c r="E42" s="13" t="n"/>
      <c r="F42" s="14" t="n"/>
    </row>
    <row r="43" ht="22" customHeight="1">
      <c r="B43" s="43" t="inlineStr">
        <is>
          <t>例）ラグジュアリー感を出しつつも親しみやすいトーン</t>
        </is>
      </c>
      <c r="C43" s="31" t="n"/>
      <c r="D43" s="31" t="n"/>
      <c r="E43" s="31" t="n"/>
      <c r="F43" s="32" t="n"/>
    </row>
    <row r="44" ht="22" customHeight="1">
      <c r="B44" s="33" t="n"/>
      <c r="C44" s="34" t="n"/>
      <c r="D44" s="34" t="n"/>
      <c r="E44" s="34" t="n"/>
      <c r="F44" s="35" t="n"/>
    </row>
    <row r="45" ht="22" customHeight="1">
      <c r="B45" s="42" t="inlineStr">
        <is>
          <t xml:space="preserve">　 デザインに込めたい想い・課題点</t>
        </is>
      </c>
      <c r="C45" s="43" t="inlineStr">
        <is>
          <t>デザインへの想いや課題点などあればご記入ください</t>
        </is>
      </c>
      <c r="D45" s="31" t="n"/>
      <c r="E45" s="31" t="n"/>
      <c r="F45" s="32" t="n"/>
    </row>
    <row r="46" ht="22" customHeight="1">
      <c r="B46" s="44" t="n"/>
      <c r="C46" s="36" t="n"/>
      <c r="F46" s="37" t="n"/>
    </row>
    <row r="47" ht="22" customHeight="1">
      <c r="B47" s="44" t="n"/>
      <c r="C47" s="33" t="n"/>
      <c r="D47" s="34" t="n"/>
      <c r="E47" s="34" t="n"/>
      <c r="F47" s="35" t="n"/>
    </row>
    <row r="49" ht="24" customHeight="1">
      <c r="B49" s="39" t="inlineStr">
        <is>
          <t xml:space="preserve">  ③ コーディング情報</t>
        </is>
      </c>
      <c r="C49" s="13" t="n"/>
      <c r="D49" s="13" t="n"/>
      <c r="E49" s="13" t="n"/>
      <c r="F49" s="14" t="n"/>
    </row>
    <row r="50" ht="22" customHeight="1">
      <c r="B50" s="42" t="inlineStr">
        <is>
          <t xml:space="preserve">　 ドメイン</t>
        </is>
      </c>
      <c r="C50" s="41" t="inlineStr">
        <is>
          <t>例）example.com</t>
        </is>
      </c>
      <c r="E50" s="42" t="inlineStr">
        <is>
          <t xml:space="preserve">　 サーバー</t>
        </is>
      </c>
      <c r="F50" s="41" t="inlineStr">
        <is>
          <t>例）Xserver / ConoHa / さくら など</t>
        </is>
      </c>
    </row>
    <row r="51" ht="22" customHeight="1">
      <c r="B51" s="42" t="inlineStr">
        <is>
          <t xml:space="preserve">　 CMS</t>
        </is>
      </c>
      <c r="C51" s="45" t="inlineStr">
        <is>
          <t>WordPress</t>
        </is>
      </c>
      <c r="E51" s="42" t="inlineStr">
        <is>
          <t xml:space="preserve">　 想定ページ数</t>
        </is>
      </c>
      <c r="F51" s="49" t="inlineStr">
        <is>
          <t>例）10</t>
        </is>
      </c>
    </row>
    <row r="52" ht="22" customHeight="1">
      <c r="B52" s="42" t="inlineStr">
        <is>
          <t xml:space="preserve">　 フォーム機能の有無</t>
        </is>
      </c>
      <c r="C52" s="45" t="inlineStr">
        <is>
          <t>なし</t>
        </is>
      </c>
      <c r="E52" s="42" t="inlineStr">
        <is>
          <t xml:space="preserve">　 送付先メールアドレス（フォームありの場合）</t>
        </is>
      </c>
      <c r="F52" s="41" t="inlineStr">
        <is>
          <t>例）info@example.com</t>
        </is>
      </c>
    </row>
    <row r="53" ht="22" customHeight="1">
      <c r="B53" s="42" t="inlineStr">
        <is>
          <t xml:space="preserve">　 LINE の掲載有無</t>
        </is>
      </c>
      <c r="C53" s="45" t="inlineStr">
        <is>
          <t>掲載しない</t>
        </is>
      </c>
      <c r="E53" s="42" t="inlineStr">
        <is>
          <t xml:space="preserve">　 LINE リンク（掲載する場合）</t>
        </is>
      </c>
      <c r="F53" s="41" t="inlineStr">
        <is>
          <t>https://lin.ee/...</t>
        </is>
      </c>
    </row>
    <row r="54" ht="22" customHeight="1">
      <c r="B54" s="42" t="inlineStr">
        <is>
          <t xml:space="preserve">　 公開希望時期</t>
        </is>
      </c>
      <c r="C54" s="50" t="n"/>
      <c r="E54" s="42" t="inlineStr">
        <is>
          <t xml:space="preserve">　 公開希望 URL</t>
        </is>
      </c>
      <c r="F54" s="41" t="inlineStr">
        <is>
          <t>https://example.com/</t>
        </is>
      </c>
    </row>
    <row r="55" ht="22" customHeight="1">
      <c r="B55" s="42" t="inlineStr">
        <is>
          <t xml:space="preserve">　 FTP 情報</t>
        </is>
      </c>
      <c r="C55" s="41" t="inlineStr">
        <is>
          <t>FTPホスト / ユーザー名 / パスワード など</t>
        </is>
      </c>
      <c r="D55" s="13" t="n"/>
      <c r="E55" s="13" t="n"/>
      <c r="F55" s="14" t="n"/>
    </row>
    <row r="56" ht="22" customHeight="1">
      <c r="B56" s="42" t="inlineStr">
        <is>
          <t xml:space="preserve">　 WordPress 管理画面 URL</t>
        </is>
      </c>
      <c r="C56" s="41" t="inlineStr">
        <is>
          <t>https://example.com/wp-admin/</t>
        </is>
      </c>
      <c r="E56" s="42" t="inlineStr">
        <is>
          <t xml:space="preserve">　 WordPress ユーザー名</t>
        </is>
      </c>
      <c r="F56" s="51" t="n"/>
    </row>
    <row r="57" ht="22" customHeight="1">
      <c r="B57" s="42" t="inlineStr">
        <is>
          <t xml:space="preserve">　 WordPress パスワード</t>
        </is>
      </c>
      <c r="C57" s="51" t="n"/>
      <c r="E57" s="42" t="inlineStr">
        <is>
          <t xml:space="preserve">　 サーバー接続情報</t>
        </is>
      </c>
      <c r="F57" s="41" t="inlineStr">
        <is>
          <t>SSH情報 / コントロールパネルURL / その他</t>
        </is>
      </c>
    </row>
    <row r="58" ht="22" customHeight="1">
      <c r="B58" s="42" t="inlineStr">
        <is>
          <t xml:space="preserve">　 その他要望</t>
        </is>
      </c>
      <c r="C58" s="43" t="inlineStr">
        <is>
          <t>自由にご記入ください</t>
        </is>
      </c>
      <c r="D58" s="31" t="n"/>
      <c r="E58" s="31" t="n"/>
      <c r="F58" s="32" t="n"/>
    </row>
    <row r="59" ht="22" customHeight="1">
      <c r="B59" s="44" t="n"/>
      <c r="C59" s="33" t="n"/>
      <c r="D59" s="34" t="n"/>
      <c r="E59" s="34" t="n"/>
      <c r="F59" s="35" t="n"/>
    </row>
    <row r="61" ht="24" customHeight="1">
      <c r="B61" s="39" t="inlineStr">
        <is>
          <t xml:space="preserve">  ④ オプション（追加オプションは別途お見積り）</t>
        </is>
      </c>
      <c r="C61" s="13" t="n"/>
      <c r="D61" s="13" t="n"/>
      <c r="E61" s="13" t="n"/>
      <c r="F61" s="14" t="n"/>
    </row>
    <row r="62" ht="22" customHeight="1">
      <c r="B62" s="45" t="inlineStr">
        <is>
          <t>希望しない</t>
        </is>
      </c>
      <c r="C62" s="52" t="inlineStr">
        <is>
          <t>デザイン追加（PC/SPカンプ追加・下層追加 等）</t>
        </is>
      </c>
      <c r="E62" s="45" t="inlineStr">
        <is>
          <t>希望しない</t>
        </is>
      </c>
      <c r="F62" s="52" t="inlineStr">
        <is>
          <t>プライバシーポリシー作成</t>
        </is>
      </c>
    </row>
    <row r="63" ht="22" customHeight="1">
      <c r="B63" s="45" t="inlineStr">
        <is>
          <t>希望しない</t>
        </is>
      </c>
      <c r="C63" s="52" t="inlineStr">
        <is>
          <t>特商法ページ作成</t>
        </is>
      </c>
      <c r="E63" s="45" t="inlineStr">
        <is>
          <t>希望しない</t>
        </is>
      </c>
      <c r="F63" s="52" t="inlineStr">
        <is>
          <t>ライティング代行（原稿作成）</t>
        </is>
      </c>
    </row>
    <row r="64" ht="22" customHeight="1">
      <c r="B64" s="45" t="inlineStr">
        <is>
          <t>希望しない</t>
        </is>
      </c>
      <c r="C64" s="52" t="inlineStr">
        <is>
          <t>写真撮影 / 画像編集</t>
        </is>
      </c>
      <c r="E64" s="45" t="inlineStr">
        <is>
          <t>希望しない</t>
        </is>
      </c>
      <c r="F64" s="52" t="inlineStr">
        <is>
          <t>ロゴ制作</t>
        </is>
      </c>
    </row>
    <row r="65" ht="22" customHeight="1">
      <c r="B65" s="45" t="inlineStr">
        <is>
          <t>希望しない</t>
        </is>
      </c>
      <c r="C65" s="52" t="inlineStr">
        <is>
          <t>アクセス解析設定（GTM / GA4）</t>
        </is>
      </c>
      <c r="E65" s="45" t="inlineStr">
        <is>
          <t>希望しない</t>
        </is>
      </c>
      <c r="F65" s="52" t="inlineStr">
        <is>
          <t>SEO初期設定（メタ / OGP / 構造化）</t>
        </is>
      </c>
    </row>
    <row r="66" ht="22" customHeight="1">
      <c r="B66" s="45" t="inlineStr">
        <is>
          <t>希望しない</t>
        </is>
      </c>
      <c r="C66" s="52" t="inlineStr">
        <is>
          <t>サイト速度改善</t>
        </is>
      </c>
      <c r="E66" s="45" t="inlineStr">
        <is>
          <t>希望しない</t>
        </is>
      </c>
      <c r="F66" s="52" t="inlineStr">
        <is>
          <t>多言語対応</t>
        </is>
      </c>
    </row>
    <row r="67" ht="22" customHeight="1">
      <c r="B67" s="45" t="inlineStr">
        <is>
          <t>希望しない</t>
        </is>
      </c>
      <c r="C67" s="52" t="inlineStr">
        <is>
          <t>保守・更新（運用サポート）</t>
        </is>
      </c>
      <c r="E67" s="45" t="inlineStr">
        <is>
          <t>希望しない</t>
        </is>
      </c>
      <c r="F67" s="52" t="inlineStr">
        <is>
          <t>予約 / 決済など機能追加</t>
        </is>
      </c>
    </row>
    <row r="68" ht="22" customHeight="1">
      <c r="B68" s="45" t="inlineStr">
        <is>
          <t>希望しない</t>
        </is>
      </c>
      <c r="C68" s="52" t="inlineStr">
        <is>
          <t>ブログ / お知らせ機能構築</t>
        </is>
      </c>
      <c r="E68" s="45" t="inlineStr">
        <is>
          <t>希望しない</t>
        </is>
      </c>
      <c r="F68" s="52" t="inlineStr">
        <is>
          <t>機能性メールフォーム</t>
        </is>
      </c>
    </row>
    <row r="69" ht="22" customHeight="1">
      <c r="B69" s="45" t="inlineStr">
        <is>
          <t>希望しない</t>
        </is>
      </c>
      <c r="C69" s="52" t="inlineStr">
        <is>
          <t>フォームのサンクスページ作成</t>
        </is>
      </c>
      <c r="E69" s="45" t="inlineStr">
        <is>
          <t>希望しない</t>
        </is>
      </c>
      <c r="F69" s="52" t="inlineStr">
        <is>
          <t>デザインのパターン制作</t>
        </is>
      </c>
    </row>
    <row r="71" ht="24" customHeight="1">
      <c r="B71" s="53" t="inlineStr">
        <is>
          <t xml:space="preserve">  ◆ 入力チェック（必須項目）</t>
        </is>
      </c>
      <c r="C71" s="13" t="n"/>
      <c r="D71" s="13" t="n"/>
      <c r="E71" s="13" t="n"/>
      <c r="F71" s="14" t="n"/>
    </row>
    <row r="72" ht="36" customHeight="1">
      <c r="B72" s="54">
        <f>COUNTA(C8,C11,C12,C27,C28,F33,C33)</f>
        <v/>
      </c>
      <c r="C72" s="14" t="n"/>
      <c r="D72" s="17" t="inlineStr">
        <is>
          <t>/ 7 項目入力済み</t>
        </is>
      </c>
      <c r="E72" s="18">
        <f>IFS(COUNTA(C8,C11,C12,C27,C28,F33,C33)=7,"✔  入力完了 — 送付可能",COUNTA(C8,C11,C12,C27,C28,F33,C33)&gt;=4,"⚠  入力中 — 残り項目あり",TRUE,"✗  未入力項目が多数あります")</f>
        <v/>
      </c>
      <c r="F72" s="14" t="n"/>
    </row>
    <row r="73" ht="18" customHeight="1">
      <c r="B73" s="18">
        <f>IF(IFERROR(LEN(C8)&gt;0,FALSE),"✔","✗")</f>
        <v/>
      </c>
      <c r="C73" s="19" t="inlineStr">
        <is>
          <t>会社名 / 個人名</t>
        </is>
      </c>
    </row>
    <row r="74" ht="18" customHeight="1">
      <c r="B74" s="18">
        <f>IF(IFERROR(LEN(C11)&gt;0,FALSE),"✔","✗")</f>
        <v/>
      </c>
      <c r="C74" s="19" t="inlineStr">
        <is>
          <t>テキストの準備</t>
        </is>
      </c>
    </row>
    <row r="75" ht="18" customHeight="1">
      <c r="B75" s="18">
        <f>IF(IFERROR(LEN(C12)&gt;0,FALSE),"✔","✗")</f>
        <v/>
      </c>
      <c r="C75" s="19" t="inlineStr">
        <is>
          <t>事業概要</t>
        </is>
      </c>
    </row>
    <row r="76" ht="18" customHeight="1">
      <c r="B76" s="18">
        <f>IF(IFERROR(LEN(C27)&gt;0,FALSE),"✔","✗")</f>
        <v/>
      </c>
      <c r="C76" s="19" t="inlineStr">
        <is>
          <t>サイト・ページのタイトル</t>
        </is>
      </c>
    </row>
    <row r="77" ht="18" customHeight="1">
      <c r="B77" s="18">
        <f>IF(IFERROR(LEN(C28)&gt;0,FALSE),"✔","✗")</f>
        <v/>
      </c>
      <c r="C77" s="19" t="inlineStr">
        <is>
          <t>サイトの説明文（ディスクリプション）</t>
        </is>
      </c>
    </row>
    <row r="78" ht="18" customHeight="1">
      <c r="B78" s="18">
        <f>IF(IFERROR(LEN(C33)&gt;0,FALSE),"✔","✗")</f>
        <v/>
      </c>
      <c r="C78" s="19" t="inlineStr">
        <is>
          <t>PCデザイン</t>
        </is>
      </c>
    </row>
    <row r="79" ht="18" customHeight="1">
      <c r="B79" s="18">
        <f>IF(IFERROR(LEN(F33)&gt;0,FALSE),"✔","✗")</f>
        <v/>
      </c>
      <c r="C79" s="19" t="inlineStr">
        <is>
          <t>参考サイト URL ①</t>
        </is>
      </c>
    </row>
  </sheetData>
  <mergeCells count="31">
    <mergeCell ref="C12:F14"/>
    <mergeCell ref="B7:F7"/>
    <mergeCell ref="C8:F8"/>
    <mergeCell ref="B72:C72"/>
    <mergeCell ref="B31:F31"/>
    <mergeCell ref="B1:F4"/>
    <mergeCell ref="B71:F71"/>
    <mergeCell ref="C19:F19"/>
    <mergeCell ref="C9:F10"/>
    <mergeCell ref="B42:F42"/>
    <mergeCell ref="B61:F61"/>
    <mergeCell ref="C17:F18"/>
    <mergeCell ref="C23:F24"/>
    <mergeCell ref="C45:F47"/>
    <mergeCell ref="C20:F20"/>
    <mergeCell ref="C26:F26"/>
    <mergeCell ref="C27:F27"/>
    <mergeCell ref="C25:F25"/>
    <mergeCell ref="B40:F40"/>
    <mergeCell ref="C55:F55"/>
    <mergeCell ref="B49:F49"/>
    <mergeCell ref="C22:F22"/>
    <mergeCell ref="B43:F44"/>
    <mergeCell ref="E72:F72"/>
    <mergeCell ref="B5:F5"/>
    <mergeCell ref="C21:F21"/>
    <mergeCell ref="C28:F29"/>
    <mergeCell ref="C15:F16"/>
    <mergeCell ref="B32:F32"/>
    <mergeCell ref="B41:F41"/>
    <mergeCell ref="C58:F59"/>
  </mergeCells>
  <conditionalFormatting sqref="B62:C62">
    <cfRule type="expression" priority="1" dxfId="3">
      <formula>$B$62="希望する"</formula>
    </cfRule>
  </conditionalFormatting>
  <conditionalFormatting sqref="E62:F62">
    <cfRule type="expression" priority="2" dxfId="3">
      <formula>$E$62="希望する"</formula>
    </cfRule>
  </conditionalFormatting>
  <conditionalFormatting sqref="B63:C63">
    <cfRule type="expression" priority="3" dxfId="3">
      <formula>$B$63="希望する"</formula>
    </cfRule>
  </conditionalFormatting>
  <conditionalFormatting sqref="E63:F63">
    <cfRule type="expression" priority="4" dxfId="3">
      <formula>$E$63="希望する"</formula>
    </cfRule>
  </conditionalFormatting>
  <conditionalFormatting sqref="B64:C64">
    <cfRule type="expression" priority="5" dxfId="3">
      <formula>$B$64="希望する"</formula>
    </cfRule>
  </conditionalFormatting>
  <conditionalFormatting sqref="E64:F64">
    <cfRule type="expression" priority="6" dxfId="3">
      <formula>$E$64="希望する"</formula>
    </cfRule>
  </conditionalFormatting>
  <conditionalFormatting sqref="B65:C65">
    <cfRule type="expression" priority="7" dxfId="3">
      <formula>$B$65="希望する"</formula>
    </cfRule>
  </conditionalFormatting>
  <conditionalFormatting sqref="E65:F65">
    <cfRule type="expression" priority="8" dxfId="3">
      <formula>$E$65="希望する"</formula>
    </cfRule>
  </conditionalFormatting>
  <conditionalFormatting sqref="B66:C66">
    <cfRule type="expression" priority="9" dxfId="3">
      <formula>$B$66="希望する"</formula>
    </cfRule>
  </conditionalFormatting>
  <conditionalFormatting sqref="E66:F66">
    <cfRule type="expression" priority="10" dxfId="3">
      <formula>$E$66="希望する"</formula>
    </cfRule>
  </conditionalFormatting>
  <conditionalFormatting sqref="B67:C67">
    <cfRule type="expression" priority="11" dxfId="3">
      <formula>$B$67="希望する"</formula>
    </cfRule>
  </conditionalFormatting>
  <conditionalFormatting sqref="E67:F67">
    <cfRule type="expression" priority="12" dxfId="3">
      <formula>$E$67="希望する"</formula>
    </cfRule>
  </conditionalFormatting>
  <conditionalFormatting sqref="B68:C68">
    <cfRule type="expression" priority="13" dxfId="3">
      <formula>$B$68="希望する"</formula>
    </cfRule>
  </conditionalFormatting>
  <conditionalFormatting sqref="E68:F68">
    <cfRule type="expression" priority="14" dxfId="3">
      <formula>$E$68="希望する"</formula>
    </cfRule>
  </conditionalFormatting>
  <conditionalFormatting sqref="B69:C69">
    <cfRule type="expression" priority="15" dxfId="3">
      <formula>$B$69="希望する"</formula>
    </cfRule>
  </conditionalFormatting>
  <conditionalFormatting sqref="E69:F69">
    <cfRule type="expression" priority="16" dxfId="3">
      <formula>$E$69="希望する"</formula>
    </cfRule>
  </conditionalFormatting>
  <conditionalFormatting sqref="E72:F72">
    <cfRule type="expression" priority="17" dxfId="0">
      <formula>COUNTA(C8,C11,C12,C27,C28,F33,C33)=7</formula>
    </cfRule>
    <cfRule type="expression" priority="18" dxfId="1">
      <formula>AND(COUNTA(C8,C11,C12,C27,C28,F33,C33)&gt;=4,COUNTA(C8,C11,C12,C27,C28,F33,C33)&lt;7)</formula>
    </cfRule>
    <cfRule type="expression" priority="19" dxfId="2">
      <formula>COUNTA(C8,C11,C12,C27,C28,F33,C33)&lt;4</formula>
    </cfRule>
  </conditionalFormatting>
  <conditionalFormatting sqref="B73:C73">
    <cfRule type="expression" priority="20" dxfId="3">
      <formula>LEN(C8)&gt;0</formula>
    </cfRule>
    <cfRule type="expression" priority="21" dxfId="4">
      <formula>LEN(C8)=0</formula>
    </cfRule>
  </conditionalFormatting>
  <conditionalFormatting sqref="B74:C74">
    <cfRule type="expression" priority="22" dxfId="3">
      <formula>LEN(C11)&gt;0</formula>
    </cfRule>
    <cfRule type="expression" priority="23" dxfId="4">
      <formula>LEN(C11)=0</formula>
    </cfRule>
  </conditionalFormatting>
  <conditionalFormatting sqref="B75:C75">
    <cfRule type="expression" priority="24" dxfId="3">
      <formula>LEN(C12)&gt;0</formula>
    </cfRule>
    <cfRule type="expression" priority="25" dxfId="4">
      <formula>LEN(C12)=0</formula>
    </cfRule>
  </conditionalFormatting>
  <conditionalFormatting sqref="B76:C76">
    <cfRule type="expression" priority="26" dxfId="3">
      <formula>LEN(C27)&gt;0</formula>
    </cfRule>
    <cfRule type="expression" priority="27" dxfId="4">
      <formula>LEN(C27)=0</formula>
    </cfRule>
  </conditionalFormatting>
  <conditionalFormatting sqref="B77:C77">
    <cfRule type="expression" priority="28" dxfId="3">
      <formula>LEN(C28)&gt;0</formula>
    </cfRule>
    <cfRule type="expression" priority="29" dxfId="4">
      <formula>LEN(C28)=0</formula>
    </cfRule>
  </conditionalFormatting>
  <conditionalFormatting sqref="B78:C78">
    <cfRule type="expression" priority="30" dxfId="3">
      <formula>LEN(C33)&gt;0</formula>
    </cfRule>
    <cfRule type="expression" priority="31" dxfId="4">
      <formula>LEN(C33)=0</formula>
    </cfRule>
  </conditionalFormatting>
  <conditionalFormatting sqref="B79:C79">
    <cfRule type="expression" priority="32" dxfId="3">
      <formula>LEN(F33)&gt;0</formula>
    </cfRule>
    <cfRule type="expression" priority="33" dxfId="4">
      <formula>LEN(F33)=0</formula>
    </cfRule>
  </conditionalFormatting>
  <dataValidations count="25">
    <dataValidation sqref="C11" showDropDown="0" showInputMessage="0" showErrorMessage="1" allowBlank="1" errorTitle="入力エラー" error="リストから選択してください" type="list">
      <formula1>"あり,なし"</formula1>
    </dataValidation>
    <dataValidation sqref="F11" showDropDown="0" showInputMessage="0" showErrorMessage="1" allowBlank="1" errorTitle="入力エラー" error="リストから選択してください" type="list">
      <formula1>"フレンドリー,ビジネス/堅め,高級感,やわらかい,その他"</formula1>
    </dataValidation>
    <dataValidation sqref="C33" showDropDown="0" showInputMessage="0" showErrorMessage="1" allowBlank="1" errorTitle="入力エラー" error="リストから選択してください" type="list">
      <formula1>"SPのみ,PCデザイン"</formula1>
    </dataValidation>
    <dataValidation sqref="C36" showDropDown="0" showInputMessage="0" showErrorMessage="1" allowBlank="1" errorTitle="入力エラー" error="リストから選択してください" type="list">
      <formula1>"あり,なし"</formula1>
    </dataValidation>
    <dataValidation sqref="C38" showDropDown="0" showInputMessage="0" showErrorMessage="1" allowBlank="1" errorTitle="入力エラー" error="リストから選択してください" type="list">
      <formula1>"提供可能,素材探し希望"</formula1>
    </dataValidation>
    <dataValidation sqref="B41" showDropDown="0" showInputMessage="0" showErrorMessage="1" allowBlank="1" errorTitle="入力エラー" error="リストから選択してください" type="list">
      <formula1>"シンプル,スタイリッシュ,信頼感,親しみやすい,和モダン,ポップ,かわいい,にぎやか,信頼感・安心感のある,健康・癒し,力強い,高級感,ナチュラル,男性向け,女性向け,エンタメ"</formula1>
    </dataValidation>
    <dataValidation sqref="C51" showDropDown="0" showInputMessage="0" showErrorMessage="1" allowBlank="1" errorTitle="入力エラー" error="リストから選択してください" type="list">
      <formula1>"WordPress,その他,CMSは無し"</formula1>
    </dataValidation>
    <dataValidation sqref="C52" showDropDown="0" showInputMessage="0" showErrorMessage="1" allowBlank="1" errorTitle="入力エラー" error="リストから選択してください" type="list">
      <formula1>"あり,なし"</formula1>
    </dataValidation>
    <dataValidation sqref="C53" showDropDown="0" showInputMessage="0" showErrorMessage="1" allowBlank="1" errorTitle="入力エラー" error="リストから選択してください" type="list">
      <formula1>"掲載する,掲載しない"</formula1>
    </dataValidation>
    <dataValidation sqref="B62" showDropDown="0" showInputMessage="0" showErrorMessage="1" allowBlank="1" errorTitle="入力エラー" error="リストから選択してください" type="list">
      <formula1>"希望する,希望しない"</formula1>
    </dataValidation>
    <dataValidation sqref="E62" showDropDown="0" showInputMessage="0" showErrorMessage="1" allowBlank="1" errorTitle="入力エラー" error="リストから選択してください" type="list">
      <formula1>"希望する,希望しない"</formula1>
    </dataValidation>
    <dataValidation sqref="B63" showDropDown="0" showInputMessage="0" showErrorMessage="1" allowBlank="1" errorTitle="入力エラー" error="リストから選択してください" type="list">
      <formula1>"希望する,希望しない"</formula1>
    </dataValidation>
    <dataValidation sqref="E63" showDropDown="0" showInputMessage="0" showErrorMessage="1" allowBlank="1" errorTitle="入力エラー" error="リストから選択してください" type="list">
      <formula1>"希望する,希望しない"</formula1>
    </dataValidation>
    <dataValidation sqref="B64" showDropDown="0" showInputMessage="0" showErrorMessage="1" allowBlank="1" errorTitle="入力エラー" error="リストから選択してください" type="list">
      <formula1>"希望する,希望しない"</formula1>
    </dataValidation>
    <dataValidation sqref="E64" showDropDown="0" showInputMessage="0" showErrorMessage="1" allowBlank="1" errorTitle="入力エラー" error="リストから選択してください" type="list">
      <formula1>"希望する,希望しない"</formula1>
    </dataValidation>
    <dataValidation sqref="B65" showDropDown="0" showInputMessage="0" showErrorMessage="1" allowBlank="1" errorTitle="入力エラー" error="リストから選択してください" type="list">
      <formula1>"希望する,希望しない"</formula1>
    </dataValidation>
    <dataValidation sqref="E65" showDropDown="0" showInputMessage="0" showErrorMessage="1" allowBlank="1" errorTitle="入力エラー" error="リストから選択してください" type="list">
      <formula1>"希望する,希望しない"</formula1>
    </dataValidation>
    <dataValidation sqref="B66" showDropDown="0" showInputMessage="0" showErrorMessage="1" allowBlank="1" errorTitle="入力エラー" error="リストから選択してください" type="list">
      <formula1>"希望する,希望しない"</formula1>
    </dataValidation>
    <dataValidation sqref="E66" showDropDown="0" showInputMessage="0" showErrorMessage="1" allowBlank="1" errorTitle="入力エラー" error="リストから選択してください" type="list">
      <formula1>"希望する,希望しない"</formula1>
    </dataValidation>
    <dataValidation sqref="B67" showDropDown="0" showInputMessage="0" showErrorMessage="1" allowBlank="1" errorTitle="入力エラー" error="リストから選択してください" type="list">
      <formula1>"希望する,希望しない"</formula1>
    </dataValidation>
    <dataValidation sqref="E67" showDropDown="0" showInputMessage="0" showErrorMessage="1" allowBlank="1" errorTitle="入力エラー" error="リストから選択してください" type="list">
      <formula1>"希望する,希望しない"</formula1>
    </dataValidation>
    <dataValidation sqref="B68" showDropDown="0" showInputMessage="0" showErrorMessage="1" allowBlank="1" errorTitle="入力エラー" error="リストから選択してください" type="list">
      <formula1>"希望する,希望しない"</formula1>
    </dataValidation>
    <dataValidation sqref="E68" showDropDown="0" showInputMessage="0" showErrorMessage="1" allowBlank="1" errorTitle="入力エラー" error="リストから選択してください" type="list">
      <formula1>"希望する,希望しない"</formula1>
    </dataValidation>
    <dataValidation sqref="B69" showDropDown="0" showInputMessage="0" showErrorMessage="1" allowBlank="1" errorTitle="入力エラー" error="リストから選択してください" type="list">
      <formula1>"希望する,希望しない"</formula1>
    </dataValidation>
    <dataValidation sqref="E69" showDropDown="0" showInputMessage="0" showErrorMessage="1" allowBlank="1" errorTitle="入力エラー" error="リストから選択してください" type="list">
      <formula1>"希望する,希望しない"</formula1>
    </dataValidation>
  </dataValidations>
  <pageMargins left="0.5" right="0.5" top="1" bottom="1" header="0.5" footer="0.5"/>
  <pageSetup orientation="portrait" paperSize="9"/>
</worksheet>
</file>

<file path=xl/worksheets/sheet3.xml><?xml version="1.0" encoding="utf-8"?>
<worksheet xmlns="http://schemas.openxmlformats.org/spreadsheetml/2006/main">
  <sheetPr>
    <tabColor rgb="004A90D9"/>
    <outlinePr summaryBelow="1" summaryRight="1"/>
    <pageSetUpPr/>
  </sheetPr>
  <dimension ref="B1:F46"/>
  <sheetViews>
    <sheetView showGridLines="0"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.5" customWidth="1" min="1" max="1"/>
    <col width="28" customWidth="1" min="2" max="2"/>
    <col width="38" customWidth="1" min="3" max="3"/>
    <col width="1.5" customWidth="1" min="4" max="4"/>
    <col width="20" customWidth="1" min="5" max="5"/>
    <col width="24" customWidth="1" min="6" max="6"/>
    <col width="1.5" customWidth="1" min="7" max="7"/>
  </cols>
  <sheetData>
    <row r="1" ht="18" customHeight="1">
      <c r="B1" s="20" t="inlineStr">
        <is>
          <t>案件サマリー  ／  自動集計シート</t>
        </is>
      </c>
    </row>
    <row r="2" ht="18" customHeight="1"/>
    <row r="3" ht="18" customHeight="1"/>
    <row r="4" ht="18" customHeight="1"/>
    <row r="5" ht="16" customHeight="1">
      <c r="B5" s="21" t="inlineStr">
        <is>
          <t>ヒアリングシートの入力内容を自動で集計・表示します（編集不要）</t>
        </is>
      </c>
    </row>
    <row r="7" ht="22" customHeight="1">
      <c r="B7" s="3" t="inlineStr">
        <is>
          <t xml:space="preserve">  基本情報</t>
        </is>
      </c>
      <c r="C7" s="13" t="n"/>
      <c r="D7" s="13" t="n"/>
      <c r="E7" s="13" t="n"/>
      <c r="F7" s="14" t="n"/>
    </row>
    <row r="8" ht="22" customHeight="1">
      <c r="B8" s="6" t="inlineStr">
        <is>
          <t>会社名 / 個人名</t>
        </is>
      </c>
      <c r="C8" s="22">
        <f>IFERROR('ヒアリングシート'!C8,"")</f>
        <v/>
      </c>
      <c r="D8" s="13" t="n"/>
      <c r="E8" s="13" t="n"/>
      <c r="F8" s="14" t="n"/>
    </row>
    <row r="9" ht="22" customHeight="1">
      <c r="B9" s="6" t="inlineStr">
        <is>
          <t>担当者名</t>
        </is>
      </c>
      <c r="C9" s="23">
        <f>IFERROR('ヒアリングシート'!C9,"")</f>
        <v/>
      </c>
      <c r="D9" s="13" t="n"/>
      <c r="E9" s="13" t="n"/>
      <c r="F9" s="14" t="n"/>
    </row>
    <row r="10" ht="22" customHeight="1">
      <c r="B10" s="6" t="inlineStr">
        <is>
          <t>メールアドレス</t>
        </is>
      </c>
      <c r="C10" s="23">
        <f>IFERROR('ヒアリングシート'!C10,"")</f>
        <v/>
      </c>
      <c r="D10" s="13" t="n"/>
      <c r="E10" s="13" t="n"/>
      <c r="F10" s="14" t="n"/>
    </row>
    <row r="11" ht="22" customHeight="1">
      <c r="B11" s="6" t="inlineStr">
        <is>
          <t>電話番号</t>
        </is>
      </c>
      <c r="C11" s="23">
        <f>IFERROR('ヒアリングシート'!C11,"")</f>
        <v/>
      </c>
      <c r="D11" s="13" t="n"/>
      <c r="E11" s="13" t="n"/>
      <c r="F11" s="14" t="n"/>
    </row>
    <row r="12" ht="22" customHeight="1">
      <c r="B12" s="6" t="inlineStr">
        <is>
          <t>ヒアリング実施日</t>
        </is>
      </c>
      <c r="C12" s="23">
        <f>IFERROR(TEXT('ヒアリングシート'!C12,"YYYY/MM/DD"),"")</f>
        <v/>
      </c>
      <c r="D12" s="13" t="n"/>
      <c r="E12" s="13" t="n"/>
      <c r="F12" s="14" t="n"/>
    </row>
    <row r="13" ht="22" customHeight="1">
      <c r="B13" s="6" t="inlineStr">
        <is>
          <t>希望納期</t>
        </is>
      </c>
      <c r="C13" s="22">
        <f>IFERROR(TEXT('ヒアリングシート'!F12,"YYYY/MM/DD"),"")</f>
        <v/>
      </c>
      <c r="D13" s="13" t="n"/>
      <c r="E13" s="13" t="n"/>
      <c r="F13" s="14" t="n"/>
    </row>
    <row r="14" ht="22" customHeight="1">
      <c r="B14" s="6" t="inlineStr">
        <is>
          <t>ご予算（目安）</t>
        </is>
      </c>
      <c r="C14" s="22">
        <f>IFERROR('ヒアリングシート'!C13,"")</f>
        <v/>
      </c>
      <c r="D14" s="13" t="n"/>
      <c r="E14" s="13" t="n"/>
      <c r="F14" s="14" t="n"/>
    </row>
    <row r="15" ht="22" customHeight="1">
      <c r="B15" s="6" t="inlineStr">
        <is>
          <t>依頼の目的・ゴール</t>
        </is>
      </c>
      <c r="C15" s="22">
        <f>IFERROR('ヒアリングシート'!C14,"")</f>
        <v/>
      </c>
      <c r="D15" s="13" t="n"/>
      <c r="E15" s="13" t="n"/>
      <c r="F15" s="14" t="n"/>
    </row>
    <row r="17" ht="22" customHeight="1">
      <c r="B17" s="3" t="inlineStr">
        <is>
          <t xml:space="preserve">  制作依頼内容</t>
        </is>
      </c>
      <c r="C17" s="13" t="n"/>
      <c r="D17" s="13" t="n"/>
      <c r="E17" s="13" t="n"/>
      <c r="F17" s="14" t="n"/>
    </row>
    <row r="18" ht="22" customHeight="1">
      <c r="B18" s="6" t="inlineStr">
        <is>
          <t>重視ポイント</t>
        </is>
      </c>
      <c r="C18" s="22">
        <f>IFERROR('ヒアリングシート'!C17,"")</f>
        <v/>
      </c>
      <c r="D18" s="13" t="n"/>
      <c r="E18" s="13" t="n"/>
      <c r="F18" s="14" t="n"/>
    </row>
    <row r="19" ht="22" customHeight="1">
      <c r="B19" s="6" t="inlineStr">
        <is>
          <t>制作範囲</t>
        </is>
      </c>
      <c r="C19" s="23">
        <f>IFERROR('ヒアリングシート'!C23,"")</f>
        <v/>
      </c>
      <c r="D19" s="13" t="n"/>
      <c r="E19" s="13" t="n"/>
      <c r="F19" s="14" t="n"/>
    </row>
    <row r="20" ht="22" customHeight="1">
      <c r="B20" s="6" t="inlineStr">
        <is>
          <t>依頼内容</t>
        </is>
      </c>
      <c r="C20" s="23">
        <f>IFERROR('ヒアリングシート'!F23,"")</f>
        <v/>
      </c>
      <c r="D20" s="13" t="n"/>
      <c r="E20" s="13" t="n"/>
      <c r="F20" s="14" t="n"/>
    </row>
    <row r="21" ht="22" customHeight="1">
      <c r="B21" s="6" t="inlineStr">
        <is>
          <t>LPの内容・概要</t>
        </is>
      </c>
      <c r="C21" s="23">
        <f>IFERROR('ヒアリングシート'!C24,"")</f>
        <v/>
      </c>
      <c r="D21" s="13" t="n"/>
      <c r="E21" s="13" t="n"/>
      <c r="F21" s="14" t="n"/>
    </row>
    <row r="22" ht="22" customHeight="1">
      <c r="B22" s="6" t="inlineStr">
        <is>
          <t>機能実装</t>
        </is>
      </c>
      <c r="C22" s="23">
        <f>IFERROR('ヒアリングシート'!C26,"")</f>
        <v/>
      </c>
      <c r="D22" s="13" t="n"/>
      <c r="E22" s="13" t="n"/>
      <c r="F22" s="14" t="n"/>
    </row>
    <row r="23" ht="22" customHeight="1">
      <c r="B23" s="6" t="inlineStr">
        <is>
          <t>希望する機能の詳細</t>
        </is>
      </c>
      <c r="C23" s="23">
        <f>IFERROR('ヒアリングシート'!C27,"")</f>
        <v/>
      </c>
      <c r="D23" s="13" t="n"/>
      <c r="E23" s="13" t="n"/>
      <c r="F23" s="14" t="n"/>
    </row>
    <row r="24" ht="22" customHeight="1">
      <c r="B24" s="6" t="inlineStr">
        <is>
          <t>フォーム実装</t>
        </is>
      </c>
      <c r="C24" s="23">
        <f>IFERROR('ヒアリングシート'!C28,"")</f>
        <v/>
      </c>
      <c r="D24" s="13" t="n"/>
      <c r="E24" s="13" t="n"/>
      <c r="F24" s="14" t="n"/>
    </row>
    <row r="25" ht="22" customHeight="1">
      <c r="B25" s="6" t="inlineStr">
        <is>
          <t>想定するCMS</t>
        </is>
      </c>
      <c r="C25" s="23">
        <f>IFERROR('ヒアリングシート'!F26,"")</f>
        <v/>
      </c>
      <c r="D25" s="13" t="n"/>
      <c r="E25" s="13" t="n"/>
      <c r="F25" s="14" t="n"/>
    </row>
    <row r="26" ht="22" customHeight="1">
      <c r="B26" s="6" t="inlineStr">
        <is>
          <t>参考サイト</t>
        </is>
      </c>
      <c r="C26" s="23">
        <f>IFERROR('ヒアリングシート'!C29,"")</f>
        <v/>
      </c>
      <c r="D26" s="13" t="n"/>
      <c r="E26" s="13" t="n"/>
      <c r="F26" s="14" t="n"/>
    </row>
    <row r="28" ht="22" customHeight="1">
      <c r="B28" s="3" t="inlineStr">
        <is>
          <t xml:space="preserve">  デザイン・技術環境</t>
        </is>
      </c>
      <c r="C28" s="13" t="n"/>
      <c r="D28" s="13" t="n"/>
      <c r="E28" s="13" t="n"/>
      <c r="F28" s="14" t="n"/>
    </row>
    <row r="29" ht="22" customHeight="1">
      <c r="B29" s="6" t="inlineStr">
        <is>
          <t>デザインスタイル</t>
        </is>
      </c>
      <c r="C29" s="23">
        <f>IFERROR('ヒアリングシート'!C32,"")</f>
        <v/>
      </c>
      <c r="D29" s="13" t="n"/>
      <c r="E29" s="13" t="n"/>
      <c r="F29" s="14" t="n"/>
    </row>
    <row r="30" ht="22" customHeight="1">
      <c r="B30" s="6" t="inlineStr">
        <is>
          <t>アニメーション</t>
        </is>
      </c>
      <c r="C30" s="23">
        <f>IFERROR('ヒアリングシート'!F32,"")</f>
        <v/>
      </c>
      <c r="D30" s="13" t="n"/>
      <c r="E30" s="13" t="n"/>
      <c r="F30" s="14" t="n"/>
    </row>
    <row r="31" ht="22" customHeight="1">
      <c r="B31" s="6" t="inlineStr">
        <is>
          <t>クオリティーレベル</t>
        </is>
      </c>
      <c r="C31" s="23">
        <f>IFERROR('ヒアリングシート'!C33,"")</f>
        <v/>
      </c>
      <c r="D31" s="13" t="n"/>
      <c r="E31" s="13" t="n"/>
      <c r="F31" s="14" t="n"/>
    </row>
    <row r="32" ht="22" customHeight="1">
      <c r="B32" s="6" t="inlineStr">
        <is>
          <t>公開後の運用</t>
        </is>
      </c>
      <c r="C32" s="23">
        <f>IFERROR('ヒアリングシート'!C36,"")</f>
        <v/>
      </c>
      <c r="D32" s="13" t="n"/>
      <c r="E32" s="13" t="n"/>
      <c r="F32" s="14" t="n"/>
    </row>
    <row r="33" ht="22" customHeight="1">
      <c r="B33" s="6" t="inlineStr">
        <is>
          <t>アフターサポート</t>
        </is>
      </c>
      <c r="C33" s="23">
        <f>IFERROR('ヒアリングシート'!F36,"")</f>
        <v/>
      </c>
      <c r="D33" s="13" t="n"/>
      <c r="E33" s="13" t="n"/>
      <c r="F33" s="14" t="n"/>
    </row>
    <row r="34" ht="22" customHeight="1">
      <c r="B34" s="6" t="inlineStr">
        <is>
          <t>ドメイン・サーバー</t>
        </is>
      </c>
      <c r="C34" s="23">
        <f>IFERROR('ヒアリングシート'!C39,"")</f>
        <v/>
      </c>
      <c r="D34" s="13" t="n"/>
      <c r="E34" s="13" t="n"/>
      <c r="F34" s="14" t="n"/>
    </row>
    <row r="35" ht="22" customHeight="1">
      <c r="B35" s="6" t="inlineStr">
        <is>
          <t>SEO対策</t>
        </is>
      </c>
      <c r="C35" s="23">
        <f>IFERROR('ヒアリングシート'!F39,"")</f>
        <v/>
      </c>
      <c r="D35" s="13" t="n"/>
      <c r="E35" s="13" t="n"/>
      <c r="F35" s="14" t="n"/>
    </row>
    <row r="36" ht="22" customHeight="1">
      <c r="B36" s="6" t="inlineStr">
        <is>
          <t>SNS連携</t>
        </is>
      </c>
      <c r="C36" s="23">
        <f>IFERROR('ヒアリングシート'!C40,"")</f>
        <v/>
      </c>
      <c r="D36" s="13" t="n"/>
      <c r="E36" s="13" t="n"/>
      <c r="F36" s="14" t="n"/>
    </row>
    <row r="38" ht="22" customHeight="1">
      <c r="B38" s="3" t="inlineStr">
        <is>
          <t xml:space="preserve">  素材・準備状況</t>
        </is>
      </c>
      <c r="C38" s="13" t="n"/>
      <c r="D38" s="13" t="n"/>
      <c r="E38" s="13" t="n"/>
      <c r="F38" s="14" t="n"/>
    </row>
    <row r="39" ht="22" customHeight="1">
      <c r="B39" s="6" t="inlineStr">
        <is>
          <t>テキスト原稿</t>
        </is>
      </c>
      <c r="C39" s="23">
        <f>IFERROR('ヒアリングシート'!C20,"")</f>
        <v/>
      </c>
      <c r="D39" s="13" t="n"/>
      <c r="E39" s="13" t="n"/>
      <c r="F39" s="14" t="n"/>
    </row>
    <row r="40" ht="22" customHeight="1">
      <c r="B40" s="6" t="inlineStr">
        <is>
          <t>写真・ロゴ等の素材</t>
        </is>
      </c>
      <c r="C40" s="23">
        <f>IFERROR('ヒアリングシート'!F20,"")</f>
        <v/>
      </c>
      <c r="D40" s="13" t="n"/>
      <c r="E40" s="13" t="n"/>
      <c r="F40" s="14" t="n"/>
    </row>
    <row r="42" ht="22" customHeight="1">
      <c r="B42" s="3" t="inlineStr">
        <is>
          <t xml:space="preserve">  備考・その他ご要望</t>
        </is>
      </c>
      <c r="C42" s="13" t="n"/>
      <c r="D42" s="13" t="n"/>
      <c r="E42" s="13" t="n"/>
      <c r="F42" s="14" t="n"/>
    </row>
    <row r="43" ht="60" customHeight="1">
      <c r="B43" s="24" t="inlineStr">
        <is>
          <t>その他ご要望・補足</t>
        </is>
      </c>
      <c r="C43" s="25">
        <f>IFERROR('ヒアリングシート'!C43,"")</f>
        <v/>
      </c>
      <c r="D43" s="13" t="n"/>
      <c r="E43" s="13" t="n"/>
      <c r="F43" s="14" t="n"/>
    </row>
    <row r="45" ht="22" customHeight="1">
      <c r="B45" s="15" t="inlineStr">
        <is>
          <t xml:space="preserve">  入力ステータス</t>
        </is>
      </c>
      <c r="C45" s="13" t="n"/>
      <c r="D45" s="13" t="n"/>
      <c r="E45" s="13" t="n"/>
      <c r="F45" s="14" t="n"/>
    </row>
    <row r="46" ht="36" customHeight="1">
      <c r="B46" s="26">
        <f>IFERROR('ヒアリングシート'!E49,"")</f>
        <v/>
      </c>
      <c r="C46" s="13" t="n"/>
      <c r="D46" s="13" t="n"/>
      <c r="E46" s="13" t="n"/>
      <c r="F46" s="14" t="n"/>
    </row>
  </sheetData>
  <mergeCells count="37">
    <mergeCell ref="B7:F7"/>
    <mergeCell ref="C23:F23"/>
    <mergeCell ref="C39:F39"/>
    <mergeCell ref="C8:F8"/>
    <mergeCell ref="B46:F46"/>
    <mergeCell ref="B1:F4"/>
    <mergeCell ref="C32:F32"/>
    <mergeCell ref="C19:F19"/>
    <mergeCell ref="C13:F13"/>
    <mergeCell ref="C18:F18"/>
    <mergeCell ref="C34:F34"/>
    <mergeCell ref="B42:F42"/>
    <mergeCell ref="C30:F30"/>
    <mergeCell ref="C15:F15"/>
    <mergeCell ref="C33:F33"/>
    <mergeCell ref="C24:F24"/>
    <mergeCell ref="B17:F17"/>
    <mergeCell ref="C14:F14"/>
    <mergeCell ref="B38:F38"/>
    <mergeCell ref="C35:F35"/>
    <mergeCell ref="C20:F20"/>
    <mergeCell ref="C26:F26"/>
    <mergeCell ref="B28:F28"/>
    <mergeCell ref="C29:F29"/>
    <mergeCell ref="C25:F25"/>
    <mergeCell ref="C10:F10"/>
    <mergeCell ref="C22:F22"/>
    <mergeCell ref="C40:F40"/>
    <mergeCell ref="C9:F9"/>
    <mergeCell ref="C31:F31"/>
    <mergeCell ref="C43:F43"/>
    <mergeCell ref="C12:F12"/>
    <mergeCell ref="B5:F5"/>
    <mergeCell ref="C21:F21"/>
    <mergeCell ref="B45:F45"/>
    <mergeCell ref="C11:F11"/>
    <mergeCell ref="C36:F36"/>
  </mergeCells>
  <pageMargins left="0.75" right="0.75" top="1" bottom="1" header="0.5" footer="0.5"/>
  <pageSetup orientation="portrait" paperSize="9"/>
</worksheet>
</file>

<file path=xl/worksheets/sheet4.xml><?xml version="1.0" encoding="utf-8"?>
<worksheet xmlns="http://schemas.openxmlformats.org/spreadsheetml/2006/main">
  <sheetPr>
    <tabColor rgb="0000897B"/>
    <outlinePr summaryBelow="1" summaryRight="1"/>
    <pageSetUpPr/>
  </sheetPr>
  <dimension ref="B1:F72"/>
  <sheetViews>
    <sheetView showGridLines="0"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.5" customWidth="1" min="1" max="1"/>
    <col width="28" customWidth="1" min="2" max="2"/>
    <col width="40" customWidth="1" min="3" max="3"/>
    <col width="1.5" customWidth="1" min="4" max="4"/>
    <col width="20" customWidth="1" min="5" max="5"/>
    <col width="28" customWidth="1" min="6" max="6"/>
    <col width="1.5" customWidth="1" min="7" max="7"/>
  </cols>
  <sheetData>
    <row r="1" ht="18" customHeight="1">
      <c r="B1" s="1" t="inlineStr">
        <is>
          <t>Web 制作サマリー  ／  自動集計シート</t>
        </is>
      </c>
    </row>
    <row r="2" ht="18" customHeight="1"/>
    <row r="3" ht="18" customHeight="1"/>
    <row r="4" ht="18" customHeight="1"/>
    <row r="5" ht="16" customHeight="1">
      <c r="B5" s="38" t="inlineStr">
        <is>
          <t>Web制作ヒアリングシートの入力内容を自動で集計・表示します（編集不要）</t>
        </is>
      </c>
    </row>
    <row r="7" ht="24" customHeight="1">
      <c r="B7" s="39" t="inlineStr">
        <is>
          <t xml:space="preserve">  ライティング</t>
        </is>
      </c>
      <c r="C7" s="13" t="n"/>
      <c r="D7" s="13" t="n"/>
      <c r="E7" s="13" t="n"/>
      <c r="F7" s="14" t="n"/>
    </row>
    <row r="8" ht="22" customHeight="1">
      <c r="B8" s="42" t="inlineStr">
        <is>
          <t>会社名 / 個人名</t>
        </is>
      </c>
      <c r="C8" s="55">
        <f>IFERROR('Web制作ヒアリング'!C8,"")</f>
        <v/>
      </c>
      <c r="D8" s="13" t="n"/>
      <c r="E8" s="13" t="n"/>
      <c r="F8" s="14" t="n"/>
    </row>
    <row r="9" ht="22" customHeight="1">
      <c r="B9" s="42" t="inlineStr">
        <is>
          <t>既存サイト URL</t>
        </is>
      </c>
      <c r="C9" s="23">
        <f>IFERROR('Web制作ヒアリング'!C9,"")</f>
        <v/>
      </c>
      <c r="D9" s="13" t="n"/>
      <c r="E9" s="13" t="n"/>
      <c r="F9" s="14" t="n"/>
    </row>
    <row r="10" ht="22" customHeight="1">
      <c r="B10" s="42" t="inlineStr">
        <is>
          <t>テキストの準備</t>
        </is>
      </c>
      <c r="C10" s="23">
        <f>IFERROR('Web制作ヒアリング'!C11,"")</f>
        <v/>
      </c>
      <c r="D10" s="13" t="n"/>
      <c r="E10" s="13" t="n"/>
      <c r="F10" s="14" t="n"/>
    </row>
    <row r="11" ht="22" customHeight="1">
      <c r="B11" s="42" t="inlineStr">
        <is>
          <t>ブランドトーン</t>
        </is>
      </c>
      <c r="C11" s="23">
        <f>IFERROR('Web制作ヒアリング'!F11,"")</f>
        <v/>
      </c>
      <c r="D11" s="13" t="n"/>
      <c r="E11" s="13" t="n"/>
      <c r="F11" s="14" t="n"/>
    </row>
    <row r="12" ht="22" customHeight="1">
      <c r="B12" s="42" t="inlineStr">
        <is>
          <t>事業概要</t>
        </is>
      </c>
      <c r="C12" s="23">
        <f>IFERROR('Web制作ヒアリング'!C12,"")</f>
        <v/>
      </c>
      <c r="D12" s="13" t="n"/>
      <c r="E12" s="13" t="n"/>
      <c r="F12" s="14" t="n"/>
    </row>
    <row r="13" ht="22" customHeight="1">
      <c r="B13" s="42" t="inlineStr">
        <is>
          <t>提供サービス</t>
        </is>
      </c>
      <c r="C13" s="23">
        <f>IFERROR('Web制作ヒアリング'!C15,"")</f>
        <v/>
      </c>
      <c r="D13" s="13" t="n"/>
      <c r="E13" s="13" t="n"/>
      <c r="F13" s="14" t="n"/>
    </row>
    <row r="14" ht="22" customHeight="1">
      <c r="B14" s="42" t="inlineStr">
        <is>
          <t>ターゲット</t>
        </is>
      </c>
      <c r="C14" s="23">
        <f>IFERROR('Web制作ヒアリング'!C17,"")</f>
        <v/>
      </c>
      <c r="D14" s="13" t="n"/>
      <c r="E14" s="13" t="n"/>
      <c r="F14" s="14" t="n"/>
    </row>
    <row r="15" ht="22" customHeight="1">
      <c r="B15" s="42" t="inlineStr">
        <is>
          <t>競合 / 参考 URL ①</t>
        </is>
      </c>
      <c r="C15" s="23">
        <f>IFERROR('Web制作ヒアリング'!C19,"")</f>
        <v/>
      </c>
      <c r="D15" s="13" t="n"/>
      <c r="E15" s="13" t="n"/>
      <c r="F15" s="14" t="n"/>
    </row>
    <row r="16" ht="22" customHeight="1">
      <c r="B16" s="42" t="inlineStr">
        <is>
          <t>競合 / 参考 URL ②</t>
        </is>
      </c>
      <c r="C16" s="23">
        <f>IFERROR('Web制作ヒアリング'!C20,"")</f>
        <v/>
      </c>
      <c r="D16" s="13" t="n"/>
      <c r="E16" s="13" t="n"/>
      <c r="F16" s="14" t="n"/>
    </row>
    <row r="17" ht="22" customHeight="1">
      <c r="B17" s="42" t="inlineStr">
        <is>
          <t>競合 / 参考 URL ③</t>
        </is>
      </c>
      <c r="C17" s="23">
        <f>IFERROR('Web制作ヒアリング'!C21,"")</f>
        <v/>
      </c>
      <c r="D17" s="13" t="n"/>
      <c r="E17" s="13" t="n"/>
      <c r="F17" s="14" t="n"/>
    </row>
    <row r="18" ht="22" customHeight="1">
      <c r="B18" s="42" t="inlineStr">
        <is>
          <t>主要 CTA</t>
        </is>
      </c>
      <c r="C18" s="55">
        <f>IFERROR('Web制作ヒアリング'!C22,"")</f>
        <v/>
      </c>
      <c r="D18" s="13" t="n"/>
      <c r="E18" s="13" t="n"/>
      <c r="F18" s="14" t="n"/>
    </row>
    <row r="19" ht="22" customHeight="1">
      <c r="B19" s="42" t="inlineStr">
        <is>
          <t>サイトマップ案</t>
        </is>
      </c>
      <c r="C19" s="23">
        <f>IFERROR('Web制作ヒアリング'!C23,"")</f>
        <v/>
      </c>
      <c r="D19" s="13" t="n"/>
      <c r="E19" s="13" t="n"/>
      <c r="F19" s="14" t="n"/>
    </row>
    <row r="20" ht="22" customHeight="1">
      <c r="B20" s="42" t="inlineStr">
        <is>
          <t>SEO キーワード候補</t>
        </is>
      </c>
      <c r="C20" s="23">
        <f>IFERROR('Web制作ヒアリング'!C25,"")</f>
        <v/>
      </c>
      <c r="D20" s="13" t="n"/>
      <c r="E20" s="13" t="n"/>
      <c r="F20" s="14" t="n"/>
    </row>
    <row r="21" ht="22" customHeight="1">
      <c r="B21" s="42" t="inlineStr">
        <is>
          <t>NG ワード</t>
        </is>
      </c>
      <c r="C21" s="23">
        <f>IFERROR('Web制作ヒアリング'!C26,"")</f>
        <v/>
      </c>
      <c r="D21" s="13" t="n"/>
      <c r="E21" s="13" t="n"/>
      <c r="F21" s="14" t="n"/>
    </row>
    <row r="22" ht="22" customHeight="1">
      <c r="B22" s="42" t="inlineStr">
        <is>
          <t>サイト・ページタイトル</t>
        </is>
      </c>
      <c r="C22" s="55">
        <f>IFERROR('Web制作ヒアリング'!C27,"")</f>
        <v/>
      </c>
      <c r="D22" s="13" t="n"/>
      <c r="E22" s="13" t="n"/>
      <c r="F22" s="14" t="n"/>
    </row>
    <row r="23" ht="22" customHeight="1">
      <c r="B23" s="42" t="inlineStr">
        <is>
          <t>ディスクリプション</t>
        </is>
      </c>
      <c r="C23" s="23">
        <f>IFERROR('Web制作ヒアリング'!C28,"")</f>
        <v/>
      </c>
      <c r="D23" s="13" t="n"/>
      <c r="E23" s="13" t="n"/>
      <c r="F23" s="14" t="n"/>
    </row>
    <row r="25" ht="24" customHeight="1">
      <c r="B25" s="39" t="inlineStr">
        <is>
          <t xml:space="preserve">  デザイン制作</t>
        </is>
      </c>
      <c r="C25" s="13" t="n"/>
      <c r="D25" s="13" t="n"/>
      <c r="E25" s="13" t="n"/>
      <c r="F25" s="14" t="n"/>
    </row>
    <row r="26" ht="22" customHeight="1">
      <c r="B26" s="42" t="inlineStr">
        <is>
          <t>PCデザイン</t>
        </is>
      </c>
      <c r="C26" s="23">
        <f>IFERROR('Web制作ヒアリング'!C33,"")</f>
        <v/>
      </c>
      <c r="D26" s="13" t="n"/>
      <c r="E26" s="13" t="n"/>
      <c r="F26" s="14" t="n"/>
    </row>
    <row r="27" ht="22" customHeight="1">
      <c r="B27" s="42" t="inlineStr">
        <is>
          <t>参考サイト URL ①</t>
        </is>
      </c>
      <c r="C27" s="55">
        <f>IFERROR('Web制作ヒアリング'!F33,"")</f>
        <v/>
      </c>
      <c r="D27" s="13" t="n"/>
      <c r="E27" s="13" t="n"/>
      <c r="F27" s="14" t="n"/>
    </row>
    <row r="28" ht="22" customHeight="1">
      <c r="B28" s="42" t="inlineStr">
        <is>
          <t>参考サイト URL ②</t>
        </is>
      </c>
      <c r="C28" s="23">
        <f>IFERROR('Web制作ヒアリング'!C34,"")</f>
        <v/>
      </c>
      <c r="D28" s="13" t="n"/>
      <c r="E28" s="13" t="n"/>
      <c r="F28" s="14" t="n"/>
    </row>
    <row r="29" ht="22" customHeight="1">
      <c r="B29" s="42" t="inlineStr">
        <is>
          <t>参考サイト URL ③</t>
        </is>
      </c>
      <c r="C29" s="23">
        <f>IFERROR('Web制作ヒアリング'!F34,"")</f>
        <v/>
      </c>
      <c r="D29" s="13" t="n"/>
      <c r="E29" s="13" t="n"/>
      <c r="F29" s="14" t="n"/>
    </row>
    <row r="30" ht="22" customHeight="1">
      <c r="B30" s="42" t="inlineStr">
        <is>
          <t>参考サイト URL ④</t>
        </is>
      </c>
      <c r="C30" s="23">
        <f>IFERROR('Web制作ヒアリング'!C35,"")</f>
        <v/>
      </c>
      <c r="D30" s="13" t="n"/>
      <c r="E30" s="13" t="n"/>
      <c r="F30" s="14" t="n"/>
    </row>
    <row r="31" ht="22" customHeight="1">
      <c r="B31" s="42" t="inlineStr">
        <is>
          <t>参考サイト URL ⑤</t>
        </is>
      </c>
      <c r="C31" s="23">
        <f>IFERROR('Web制作ヒアリング'!F35,"")</f>
        <v/>
      </c>
      <c r="D31" s="13" t="n"/>
      <c r="E31" s="13" t="n"/>
      <c r="F31" s="14" t="n"/>
    </row>
    <row r="32" ht="22" customHeight="1">
      <c r="B32" s="42" t="inlineStr">
        <is>
          <t>ロゴの有無</t>
        </is>
      </c>
      <c r="C32" s="23">
        <f>IFERROR('Web制作ヒアリング'!C36,"")</f>
        <v/>
      </c>
      <c r="D32" s="13" t="n"/>
      <c r="E32" s="13" t="n"/>
      <c r="F32" s="14" t="n"/>
    </row>
    <row r="33" ht="22" customHeight="1">
      <c r="B33" s="42" t="inlineStr">
        <is>
          <t>ブランドカラー</t>
        </is>
      </c>
      <c r="C33" s="23">
        <f>IFERROR('Web制作ヒアリング'!F36,"")</f>
        <v/>
      </c>
      <c r="D33" s="13" t="n"/>
      <c r="E33" s="13" t="n"/>
      <c r="F33" s="14" t="n"/>
    </row>
    <row r="34" ht="22" customHeight="1">
      <c r="B34" s="42" t="inlineStr">
        <is>
          <t>使用したいフォント</t>
        </is>
      </c>
      <c r="C34" s="23">
        <f>IFERROR('Web制作ヒアリング'!F37,"")</f>
        <v/>
      </c>
      <c r="D34" s="13" t="n"/>
      <c r="E34" s="13" t="n"/>
      <c r="F34" s="14" t="n"/>
    </row>
    <row r="35" ht="22" customHeight="1">
      <c r="B35" s="42" t="inlineStr">
        <is>
          <t>写真 / 素材の有無</t>
        </is>
      </c>
      <c r="C35" s="23">
        <f>IFERROR('Web制作ヒアリング'!C38,"")</f>
        <v/>
      </c>
      <c r="D35" s="13" t="n"/>
      <c r="E35" s="13" t="n"/>
      <c r="F35" s="14" t="n"/>
    </row>
    <row r="36" ht="22" customHeight="1">
      <c r="B36" s="42" t="inlineStr">
        <is>
          <t>サイトで使用したいカラー</t>
        </is>
      </c>
      <c r="C36" s="23">
        <f>IFERROR('Web制作ヒアリング'!C39,"")</f>
        <v/>
      </c>
      <c r="D36" s="13" t="n"/>
      <c r="E36" s="13" t="n"/>
      <c r="F36" s="14" t="n"/>
    </row>
    <row r="37" ht="22" customHeight="1">
      <c r="B37" s="42" t="inlineStr">
        <is>
          <t>デザインのムード</t>
        </is>
      </c>
      <c r="C37" s="23">
        <f>IFERROR('Web制作ヒアリング'!B41,"")</f>
        <v/>
      </c>
      <c r="D37" s="13" t="n"/>
      <c r="E37" s="13" t="n"/>
      <c r="F37" s="14" t="n"/>
    </row>
    <row r="38" ht="22" customHeight="1">
      <c r="B38" s="42" t="inlineStr">
        <is>
          <t>デザインへの想い</t>
        </is>
      </c>
      <c r="C38" s="23">
        <f>IFERROR('Web制作ヒアリング'!C45,"")</f>
        <v/>
      </c>
      <c r="D38" s="13" t="n"/>
      <c r="E38" s="13" t="n"/>
      <c r="F38" s="14" t="n"/>
    </row>
    <row r="40" ht="24" customHeight="1">
      <c r="B40" s="39" t="inlineStr">
        <is>
          <t xml:space="preserve">  コーディング情報</t>
        </is>
      </c>
      <c r="C40" s="13" t="n"/>
      <c r="D40" s="13" t="n"/>
      <c r="E40" s="13" t="n"/>
      <c r="F40" s="14" t="n"/>
    </row>
    <row r="41" ht="22" customHeight="1">
      <c r="B41" s="42" t="inlineStr">
        <is>
          <t>ドメイン</t>
        </is>
      </c>
      <c r="C41" s="23">
        <f>IFERROR('Web制作ヒアリング'!C50,"")</f>
        <v/>
      </c>
      <c r="D41" s="13" t="n"/>
      <c r="E41" s="13" t="n"/>
      <c r="F41" s="14" t="n"/>
    </row>
    <row r="42" ht="22" customHeight="1">
      <c r="B42" s="42" t="inlineStr">
        <is>
          <t>サーバー</t>
        </is>
      </c>
      <c r="C42" s="23">
        <f>IFERROR('Web制作ヒアリング'!F50,"")</f>
        <v/>
      </c>
      <c r="D42" s="13" t="n"/>
      <c r="E42" s="13" t="n"/>
      <c r="F42" s="14" t="n"/>
    </row>
    <row r="43" ht="22" customHeight="1">
      <c r="B43" s="42" t="inlineStr">
        <is>
          <t>CMS</t>
        </is>
      </c>
      <c r="C43" s="23">
        <f>IFERROR('Web制作ヒアリング'!C51,"")</f>
        <v/>
      </c>
      <c r="D43" s="13" t="n"/>
      <c r="E43" s="13" t="n"/>
      <c r="F43" s="14" t="n"/>
    </row>
    <row r="44" ht="22" customHeight="1">
      <c r="B44" s="42" t="inlineStr">
        <is>
          <t>想定ページ数</t>
        </is>
      </c>
      <c r="C44" s="23">
        <f>IFERROR('Web制作ヒアリング'!F51,"")</f>
        <v/>
      </c>
      <c r="D44" s="13" t="n"/>
      <c r="E44" s="13" t="n"/>
      <c r="F44" s="14" t="n"/>
    </row>
    <row r="45" ht="22" customHeight="1">
      <c r="B45" s="42" t="inlineStr">
        <is>
          <t>フォーム機能</t>
        </is>
      </c>
      <c r="C45" s="23">
        <f>IFERROR('Web制作ヒアリング'!C52,"")</f>
        <v/>
      </c>
      <c r="D45" s="13" t="n"/>
      <c r="E45" s="13" t="n"/>
      <c r="F45" s="14" t="n"/>
    </row>
    <row r="46" ht="22" customHeight="1">
      <c r="B46" s="42" t="inlineStr">
        <is>
          <t>送付先メールアドレス</t>
        </is>
      </c>
      <c r="C46" s="23">
        <f>IFERROR('Web制作ヒアリング'!F52,"")</f>
        <v/>
      </c>
      <c r="D46" s="13" t="n"/>
      <c r="E46" s="13" t="n"/>
      <c r="F46" s="14" t="n"/>
    </row>
    <row r="47" ht="22" customHeight="1">
      <c r="B47" s="42" t="inlineStr">
        <is>
          <t>LINE 掲載有無</t>
        </is>
      </c>
      <c r="C47" s="23">
        <f>IFERROR('Web制作ヒアリング'!C53,"")</f>
        <v/>
      </c>
      <c r="D47" s="13" t="n"/>
      <c r="E47" s="13" t="n"/>
      <c r="F47" s="14" t="n"/>
    </row>
    <row r="48" ht="22" customHeight="1">
      <c r="B48" s="42" t="inlineStr">
        <is>
          <t>公開希望時期</t>
        </is>
      </c>
      <c r="C48" s="55">
        <f>IFERROR(TEXT('Web制作ヒアリング'!C54,"YYYY/MM/DD"),"")</f>
        <v/>
      </c>
      <c r="D48" s="13" t="n"/>
      <c r="E48" s="13" t="n"/>
      <c r="F48" s="14" t="n"/>
    </row>
    <row r="49" ht="22" customHeight="1">
      <c r="B49" s="42" t="inlineStr">
        <is>
          <t>公開希望 URL</t>
        </is>
      </c>
      <c r="C49" s="23">
        <f>IFERROR('Web制作ヒアリング'!F54,"")</f>
        <v/>
      </c>
      <c r="D49" s="13" t="n"/>
      <c r="E49" s="13" t="n"/>
      <c r="F49" s="14" t="n"/>
    </row>
    <row r="51" ht="24" customHeight="1">
      <c r="B51" s="39" t="inlineStr">
        <is>
          <t xml:space="preserve">  オプション希望</t>
        </is>
      </c>
      <c r="C51" s="13" t="n"/>
      <c r="D51" s="13" t="n"/>
      <c r="E51" s="13" t="n"/>
      <c r="F51" s="14" t="n"/>
    </row>
    <row r="52" ht="22" customHeight="1">
      <c r="B52" s="42" t="inlineStr">
        <is>
          <t>希望オプション数</t>
        </is>
      </c>
      <c r="C52" s="23">
        <f>IFERROR(COUNTIF('Web制作ヒアリング'!B62:B69,"希望する")+COUNTIF('Web制作ヒアリング'!E62:E69,"希望する"),"")</f>
        <v/>
      </c>
      <c r="D52" s="13" t="n"/>
      <c r="E52" s="13" t="n"/>
      <c r="F52" s="14" t="n"/>
    </row>
    <row r="53" ht="18" customHeight="1">
      <c r="B53" s="56" t="inlineStr">
        <is>
          <t xml:space="preserve">　 希望オプション一覧（「希望する」を選択した項目）</t>
        </is>
      </c>
      <c r="C53" s="13" t="n"/>
      <c r="D53" s="13" t="n"/>
      <c r="E53" s="13" t="n"/>
      <c r="F53" s="14" t="n"/>
    </row>
    <row r="54" ht="18" customHeight="1">
      <c r="B54" s="57" t="inlineStr">
        <is>
          <t>デザイン追加</t>
        </is>
      </c>
      <c r="C54" s="58">
        <f>IFERROR(IF('Web制作ヒアリング'!B62="希望する","✔ 希望する","—"),"")</f>
        <v/>
      </c>
      <c r="D54" s="13" t="n"/>
      <c r="E54" s="13" t="n"/>
      <c r="F54" s="14" t="n"/>
    </row>
    <row r="55" ht="18" customHeight="1">
      <c r="B55" s="57" t="inlineStr">
        <is>
          <t>プライバシーポリシー作成</t>
        </is>
      </c>
      <c r="C55" s="58">
        <f>IFERROR(IF('Web制作ヒアリング'!E62="希望する","✔ 希望する","—"),"")</f>
        <v/>
      </c>
      <c r="D55" s="13" t="n"/>
      <c r="E55" s="13" t="n"/>
      <c r="F55" s="14" t="n"/>
    </row>
    <row r="56" ht="18" customHeight="1">
      <c r="B56" s="57" t="inlineStr">
        <is>
          <t>特商法ページ作成</t>
        </is>
      </c>
      <c r="C56" s="58">
        <f>IFERROR(IF('Web制作ヒアリング'!B63="希望する","✔ 希望する","—"),"")</f>
        <v/>
      </c>
      <c r="D56" s="13" t="n"/>
      <c r="E56" s="13" t="n"/>
      <c r="F56" s="14" t="n"/>
    </row>
    <row r="57" ht="18" customHeight="1">
      <c r="B57" s="57" t="inlineStr">
        <is>
          <t>ライティング代行</t>
        </is>
      </c>
      <c r="C57" s="58">
        <f>IFERROR(IF('Web制作ヒアリング'!E63="希望する","✔ 希望する","—"),"")</f>
        <v/>
      </c>
      <c r="D57" s="13" t="n"/>
      <c r="E57" s="13" t="n"/>
      <c r="F57" s="14" t="n"/>
    </row>
    <row r="58" ht="18" customHeight="1">
      <c r="B58" s="57" t="inlineStr">
        <is>
          <t>写真撮影 / 画像編集</t>
        </is>
      </c>
      <c r="C58" s="58">
        <f>IFERROR(IF('Web制作ヒアリング'!B64="希望する","✔ 希望する","—"),"")</f>
        <v/>
      </c>
      <c r="D58" s="13" t="n"/>
      <c r="E58" s="13" t="n"/>
      <c r="F58" s="14" t="n"/>
    </row>
    <row r="59" ht="18" customHeight="1">
      <c r="B59" s="57" t="inlineStr">
        <is>
          <t>ロゴ制作</t>
        </is>
      </c>
      <c r="C59" s="58">
        <f>IFERROR(IF('Web制作ヒアリング'!E64="希望する","✔ 希望する","—"),"")</f>
        <v/>
      </c>
      <c r="D59" s="13" t="n"/>
      <c r="E59" s="13" t="n"/>
      <c r="F59" s="14" t="n"/>
    </row>
    <row r="60" ht="18" customHeight="1">
      <c r="B60" s="57" t="inlineStr">
        <is>
          <t>アクセス解析設定（GTM/GA4）</t>
        </is>
      </c>
      <c r="C60" s="58">
        <f>IFERROR(IF('Web制作ヒアリング'!B65="希望する","✔ 希望する","—"),"")</f>
        <v/>
      </c>
      <c r="D60" s="13" t="n"/>
      <c r="E60" s="13" t="n"/>
      <c r="F60" s="14" t="n"/>
    </row>
    <row r="61" ht="18" customHeight="1">
      <c r="B61" s="57" t="inlineStr">
        <is>
          <t>SEO初期設定</t>
        </is>
      </c>
      <c r="C61" s="58">
        <f>IFERROR(IF('Web制作ヒアリング'!E65="希望する","✔ 希望する","—"),"")</f>
        <v/>
      </c>
      <c r="D61" s="13" t="n"/>
      <c r="E61" s="13" t="n"/>
      <c r="F61" s="14" t="n"/>
    </row>
    <row r="62" ht="18" customHeight="1">
      <c r="B62" s="57" t="inlineStr">
        <is>
          <t>サイト速度改善</t>
        </is>
      </c>
      <c r="C62" s="58">
        <f>IFERROR(IF('Web制作ヒアリング'!B66="希望する","✔ 希望する","—"),"")</f>
        <v/>
      </c>
      <c r="D62" s="13" t="n"/>
      <c r="E62" s="13" t="n"/>
      <c r="F62" s="14" t="n"/>
    </row>
    <row r="63" ht="18" customHeight="1">
      <c r="B63" s="57" t="inlineStr">
        <is>
          <t>多言語対応</t>
        </is>
      </c>
      <c r="C63" s="58">
        <f>IFERROR(IF('Web制作ヒアリング'!E66="希望する","✔ 希望する","—"),"")</f>
        <v/>
      </c>
      <c r="D63" s="13" t="n"/>
      <c r="E63" s="13" t="n"/>
      <c r="F63" s="14" t="n"/>
    </row>
    <row r="64" ht="18" customHeight="1">
      <c r="B64" s="57" t="inlineStr">
        <is>
          <t>保守・更新</t>
        </is>
      </c>
      <c r="C64" s="58">
        <f>IFERROR(IF('Web制作ヒアリング'!B67="希望する","✔ 希望する","—"),"")</f>
        <v/>
      </c>
      <c r="D64" s="13" t="n"/>
      <c r="E64" s="13" t="n"/>
      <c r="F64" s="14" t="n"/>
    </row>
    <row r="65" ht="18" customHeight="1">
      <c r="B65" s="57" t="inlineStr">
        <is>
          <t>予約 / 決済など機能追加</t>
        </is>
      </c>
      <c r="C65" s="58">
        <f>IFERROR(IF('Web制作ヒアリング'!E67="希望する","✔ 希望する","—"),"")</f>
        <v/>
      </c>
      <c r="D65" s="13" t="n"/>
      <c r="E65" s="13" t="n"/>
      <c r="F65" s="14" t="n"/>
    </row>
    <row r="66" ht="18" customHeight="1">
      <c r="B66" s="57" t="inlineStr">
        <is>
          <t>ブログ / お知らせ機能</t>
        </is>
      </c>
      <c r="C66" s="58">
        <f>IFERROR(IF('Web制作ヒアリング'!B68="希望する","✔ 希望する","—"),"")</f>
        <v/>
      </c>
      <c r="D66" s="13" t="n"/>
      <c r="E66" s="13" t="n"/>
      <c r="F66" s="14" t="n"/>
    </row>
    <row r="67" ht="18" customHeight="1">
      <c r="B67" s="57" t="inlineStr">
        <is>
          <t>機能性メールフォーム</t>
        </is>
      </c>
      <c r="C67" s="58">
        <f>IFERROR(IF('Web制作ヒアリング'!E68="希望する","✔ 希望する","—"),"")</f>
        <v/>
      </c>
      <c r="D67" s="13" t="n"/>
      <c r="E67" s="13" t="n"/>
      <c r="F67" s="14" t="n"/>
    </row>
    <row r="68" ht="18" customHeight="1">
      <c r="B68" s="57" t="inlineStr">
        <is>
          <t>フォームのサンクスページ</t>
        </is>
      </c>
      <c r="C68" s="58">
        <f>IFERROR(IF('Web制作ヒアリング'!B69="希望する","✔ 希望する","—"),"")</f>
        <v/>
      </c>
      <c r="D68" s="13" t="n"/>
      <c r="E68" s="13" t="n"/>
      <c r="F68" s="14" t="n"/>
    </row>
    <row r="69" ht="18" customHeight="1">
      <c r="B69" s="57" t="inlineStr">
        <is>
          <t>デザインのパターン制作</t>
        </is>
      </c>
      <c r="C69" s="58">
        <f>IFERROR(IF('Web制作ヒアリング'!E69="希望する","✔ 希望する","—"),"")</f>
        <v/>
      </c>
      <c r="D69" s="13" t="n"/>
      <c r="E69" s="13" t="n"/>
      <c r="F69" s="14" t="n"/>
    </row>
    <row r="71" ht="24" customHeight="1">
      <c r="B71" s="39" t="inlineStr">
        <is>
          <t xml:space="preserve">  入力ステータス</t>
        </is>
      </c>
      <c r="C71" s="13" t="n"/>
      <c r="D71" s="13" t="n"/>
      <c r="E71" s="13" t="n"/>
      <c r="F71" s="14" t="n"/>
    </row>
    <row r="72" ht="36" customHeight="1">
      <c r="B72" s="26">
        <f>IFERROR('Web制作ヒアリング'!E72,"")</f>
        <v/>
      </c>
      <c r="C72" s="13" t="n"/>
      <c r="D72" s="13" t="n"/>
      <c r="E72" s="13" t="n"/>
      <c r="F72" s="14" t="n"/>
    </row>
  </sheetData>
  <mergeCells count="64">
    <mergeCell ref="C52:F52"/>
    <mergeCell ref="C48:F48"/>
    <mergeCell ref="B7:F7"/>
    <mergeCell ref="C23:F23"/>
    <mergeCell ref="C17:F17"/>
    <mergeCell ref="C8:F8"/>
    <mergeCell ref="C61:F61"/>
    <mergeCell ref="B25:F25"/>
    <mergeCell ref="B72:F72"/>
    <mergeCell ref="C38:F38"/>
    <mergeCell ref="C67:F67"/>
    <mergeCell ref="B1:F4"/>
    <mergeCell ref="C32:F32"/>
    <mergeCell ref="B71:F71"/>
    <mergeCell ref="C19:F19"/>
    <mergeCell ref="C37:F37"/>
    <mergeCell ref="C57:F57"/>
    <mergeCell ref="C28:F28"/>
    <mergeCell ref="C66:F66"/>
    <mergeCell ref="C13:F13"/>
    <mergeCell ref="C18:F18"/>
    <mergeCell ref="C69:F69"/>
    <mergeCell ref="C49:F49"/>
    <mergeCell ref="C34:F34"/>
    <mergeCell ref="C30:F30"/>
    <mergeCell ref="C62:F62"/>
    <mergeCell ref="C68:F68"/>
    <mergeCell ref="C15:F15"/>
    <mergeCell ref="C33:F33"/>
    <mergeCell ref="C42:F42"/>
    <mergeCell ref="C58:F58"/>
    <mergeCell ref="C14:F14"/>
    <mergeCell ref="B53:F53"/>
    <mergeCell ref="C45:F45"/>
    <mergeCell ref="C64:F64"/>
    <mergeCell ref="C35:F35"/>
    <mergeCell ref="C20:F20"/>
    <mergeCell ref="C26:F26"/>
    <mergeCell ref="C29:F29"/>
    <mergeCell ref="C16:F16"/>
    <mergeCell ref="C54:F54"/>
    <mergeCell ref="C63:F63"/>
    <mergeCell ref="C65:F65"/>
    <mergeCell ref="C10:F10"/>
    <mergeCell ref="C41:F41"/>
    <mergeCell ref="C47:F47"/>
    <mergeCell ref="B40:F40"/>
    <mergeCell ref="C55:F55"/>
    <mergeCell ref="C44:F44"/>
    <mergeCell ref="C22:F22"/>
    <mergeCell ref="C9:F9"/>
    <mergeCell ref="C31:F31"/>
    <mergeCell ref="C56:F56"/>
    <mergeCell ref="C43:F43"/>
    <mergeCell ref="C12:F12"/>
    <mergeCell ref="B5:F5"/>
    <mergeCell ref="C46:F46"/>
    <mergeCell ref="C21:F21"/>
    <mergeCell ref="B51:F51"/>
    <mergeCell ref="C59:F59"/>
    <mergeCell ref="C11:F11"/>
    <mergeCell ref="C27:F27"/>
    <mergeCell ref="C60:F60"/>
    <mergeCell ref="C36:F36"/>
  </mergeCells>
  <conditionalFormatting sqref="C54:F54">
    <cfRule type="expression" priority="1" dxfId="3">
      <formula>'Web制作ヒアリング'!B62="希望する"</formula>
    </cfRule>
  </conditionalFormatting>
  <conditionalFormatting sqref="C55:F55">
    <cfRule type="expression" priority="2" dxfId="3">
      <formula>'Web制作ヒアリング'!E62="希望する"</formula>
    </cfRule>
  </conditionalFormatting>
  <conditionalFormatting sqref="C56:F56">
    <cfRule type="expression" priority="3" dxfId="3">
      <formula>'Web制作ヒアリング'!B63="希望する"</formula>
    </cfRule>
  </conditionalFormatting>
  <conditionalFormatting sqref="C57:F57">
    <cfRule type="expression" priority="4" dxfId="3">
      <formula>'Web制作ヒアリング'!E63="希望する"</formula>
    </cfRule>
  </conditionalFormatting>
  <conditionalFormatting sqref="C58:F58">
    <cfRule type="expression" priority="5" dxfId="3">
      <formula>'Web制作ヒアリング'!B64="希望する"</formula>
    </cfRule>
  </conditionalFormatting>
  <conditionalFormatting sqref="C59:F59">
    <cfRule type="expression" priority="6" dxfId="3">
      <formula>'Web制作ヒアリング'!E64="希望する"</formula>
    </cfRule>
  </conditionalFormatting>
  <conditionalFormatting sqref="C60:F60">
    <cfRule type="expression" priority="7" dxfId="3">
      <formula>'Web制作ヒアリング'!B65="希望する"</formula>
    </cfRule>
  </conditionalFormatting>
  <conditionalFormatting sqref="C61:F61">
    <cfRule type="expression" priority="8" dxfId="3">
      <formula>'Web制作ヒアリング'!E65="希望する"</formula>
    </cfRule>
  </conditionalFormatting>
  <conditionalFormatting sqref="C62:F62">
    <cfRule type="expression" priority="9" dxfId="3">
      <formula>'Web制作ヒアリング'!B66="希望する"</formula>
    </cfRule>
  </conditionalFormatting>
  <conditionalFormatting sqref="C63:F63">
    <cfRule type="expression" priority="10" dxfId="3">
      <formula>'Web制作ヒアリング'!E66="希望する"</formula>
    </cfRule>
  </conditionalFormatting>
  <conditionalFormatting sqref="C64:F64">
    <cfRule type="expression" priority="11" dxfId="3">
      <formula>'Web制作ヒアリング'!B67="希望する"</formula>
    </cfRule>
  </conditionalFormatting>
  <conditionalFormatting sqref="C65:F65">
    <cfRule type="expression" priority="12" dxfId="3">
      <formula>'Web制作ヒアリング'!E67="希望する"</formula>
    </cfRule>
  </conditionalFormatting>
  <conditionalFormatting sqref="C66:F66">
    <cfRule type="expression" priority="13" dxfId="3">
      <formula>'Web制作ヒアリング'!B68="希望する"</formula>
    </cfRule>
  </conditionalFormatting>
  <conditionalFormatting sqref="C67:F67">
    <cfRule type="expression" priority="14" dxfId="3">
      <formula>'Web制作ヒアリング'!E68="希望する"</formula>
    </cfRule>
  </conditionalFormatting>
  <conditionalFormatting sqref="C68:F68">
    <cfRule type="expression" priority="15" dxfId="3">
      <formula>'Web制作ヒアリング'!B69="希望する"</formula>
    </cfRule>
  </conditionalFormatting>
  <conditionalFormatting sqref="C69:F69">
    <cfRule type="expression" priority="16" dxfId="3">
      <formula>'Web制作ヒアリング'!E69="希望する"</formula>
    </cfRule>
  </conditionalFormatting>
  <pageMargins left="0.75" right="0.75" top="1" bottom="1" header="0.5" footer="0.5"/>
  <pageSetup orientation="portrait" paperSize="9"/>
</worksheet>
</file>

<file path=xl/worksheets/sheet5.xml><?xml version="1.0" encoding="utf-8"?>
<worksheet xmlns="http://schemas.openxmlformats.org/spreadsheetml/2006/main">
  <sheetPr>
    <tabColor rgb="00C8A84B"/>
    <outlinePr summaryBelow="1" summaryRight="1"/>
    <pageSetUpPr/>
  </sheetPr>
  <dimension ref="B1:F38"/>
  <sheetViews>
    <sheetView showGridLines="0" workbookViewId="0">
      <selection activeCell="A1" sqref="A1"/>
    </sheetView>
  </sheetViews>
  <sheetFormatPr baseColWidth="8" defaultRowHeight="15"/>
  <cols>
    <col width="1.5" customWidth="1" min="1" max="1"/>
    <col width="24" customWidth="1" min="2" max="2"/>
    <col width="36" customWidth="1" min="3" max="3"/>
    <col width="3" customWidth="1" min="4" max="4"/>
    <col width="24" customWidth="1" min="5" max="5"/>
    <col width="36" customWidth="1" min="6" max="6"/>
    <col width="1.5" customWidth="1" min="7" max="7"/>
  </cols>
  <sheetData>
    <row r="1" ht="18" customHeight="1">
      <c r="B1" s="27" t="inlineStr">
        <is>
          <t>マスターデータ  ／  選択肢・定義一覧</t>
        </is>
      </c>
    </row>
    <row r="2" ht="18" customHeight="1"/>
    <row r="3" ht="18" customHeight="1"/>
    <row r="4" ht="18" customHeight="1"/>
    <row r="5" ht="16" customHeight="1">
      <c r="B5" s="21" t="inlineStr">
        <is>
          <t>各項目の選択肢と定義を管理するシートです（必要に応じて編集可）</t>
        </is>
      </c>
    </row>
    <row r="7" ht="22" customHeight="1">
      <c r="B7" s="28" t="inlineStr">
        <is>
          <t>優先度（重視ポイント）</t>
        </is>
      </c>
      <c r="C7" s="14" t="n"/>
      <c r="E7" s="28" t="inlineStr">
        <is>
          <t>アニメーション</t>
        </is>
      </c>
      <c r="F7" s="14" t="n"/>
    </row>
    <row r="8" ht="18" customHeight="1">
      <c r="B8" s="29" t="inlineStr">
        <is>
          <t>クオリティー</t>
        </is>
      </c>
      <c r="C8" s="30" t="inlineStr">
        <is>
          <t>仕上がりの質・完成度を最優先</t>
        </is>
      </c>
      <c r="E8" s="29" t="inlineStr">
        <is>
          <t>ダイナミックアニメーション（かなり動きます）</t>
        </is>
      </c>
      <c r="F8" s="30" t="inlineStr">
        <is>
          <t>スクロールアニメーション等を多用</t>
        </is>
      </c>
    </row>
    <row r="9" ht="18" customHeight="1">
      <c r="B9" s="29" t="inlineStr">
        <is>
          <t>コスト</t>
        </is>
      </c>
      <c r="C9" s="30" t="inlineStr">
        <is>
          <t>予算内での最大効果を優先</t>
        </is>
      </c>
      <c r="E9" s="29" t="inlineStr">
        <is>
          <t>少なめ</t>
        </is>
      </c>
      <c r="F9" s="30" t="inlineStr">
        <is>
          <t>控えめなアニメーション</t>
        </is>
      </c>
    </row>
    <row r="10" ht="18" customHeight="1">
      <c r="B10" s="29" t="inlineStr">
        <is>
          <t>速さ</t>
        </is>
      </c>
      <c r="C10" s="30" t="inlineStr">
        <is>
          <t>納期・スピードを最優先</t>
        </is>
      </c>
      <c r="E10" s="29" t="inlineStr">
        <is>
          <t>お任せ</t>
        </is>
      </c>
      <c r="F10" s="30" t="inlineStr">
        <is>
          <t>制作者に一任</t>
        </is>
      </c>
    </row>
    <row r="11" ht="18" customHeight="1">
      <c r="B11" s="29" t="inlineStr">
        <is>
          <t>機能性</t>
        </is>
      </c>
      <c r="C11" s="30" t="inlineStr">
        <is>
          <t>機能・操作性を最優先</t>
        </is>
      </c>
      <c r="E11" s="29" t="inlineStr">
        <is>
          <t>無し</t>
        </is>
      </c>
      <c r="F11" s="30" t="inlineStr">
        <is>
          <t>アニメーションなし</t>
        </is>
      </c>
    </row>
    <row r="13" ht="22" customHeight="1">
      <c r="B13" s="28" t="inlineStr">
        <is>
          <t>制作範囲</t>
        </is>
      </c>
      <c r="C13" s="14" t="n"/>
      <c r="E13" s="28" t="inlineStr">
        <is>
          <t>クオリティーレベル</t>
        </is>
      </c>
      <c r="F13" s="14" t="n"/>
    </row>
    <row r="14" ht="18" customHeight="1">
      <c r="B14" s="29" t="inlineStr">
        <is>
          <t>新規制作</t>
        </is>
      </c>
      <c r="C14" s="30" t="inlineStr">
        <is>
          <t>ゼロから新しく制作</t>
        </is>
      </c>
      <c r="E14" s="29" t="inlineStr">
        <is>
          <t>ハイクオリティー（ダイナミックアニメーションや機能性LP）</t>
        </is>
      </c>
      <c r="F14" s="30" t="inlineStr">
        <is>
          <t>最高品質・高度な実装</t>
        </is>
      </c>
    </row>
    <row r="15" ht="18" customHeight="1">
      <c r="B15" s="29" t="inlineStr">
        <is>
          <t>リニューアル</t>
        </is>
      </c>
      <c r="C15" s="30" t="inlineStr">
        <is>
          <t>既存サイトを全面刷新</t>
        </is>
      </c>
      <c r="E15" s="29" t="inlineStr">
        <is>
          <t>NORMAL</t>
        </is>
      </c>
      <c r="F15" s="30" t="inlineStr">
        <is>
          <t>標準的な品質</t>
        </is>
      </c>
    </row>
    <row r="16" ht="18" customHeight="1">
      <c r="B16" s="29" t="inlineStr">
        <is>
          <t>一部修正</t>
        </is>
      </c>
      <c r="C16" s="30" t="inlineStr">
        <is>
          <t>既存サイトの一部を変更</t>
        </is>
      </c>
      <c r="E16" s="29" t="inlineStr">
        <is>
          <t>画像ベース</t>
        </is>
      </c>
      <c r="F16" s="30" t="inlineStr">
        <is>
          <t>画像中心のシンプルな実装</t>
        </is>
      </c>
    </row>
    <row r="18" ht="22" customHeight="1">
      <c r="B18" s="28" t="inlineStr">
        <is>
          <t>想定CMS</t>
        </is>
      </c>
      <c r="C18" s="14" t="n"/>
      <c r="E18" s="28" t="inlineStr">
        <is>
          <t>公開後の運用</t>
        </is>
      </c>
      <c r="F18" s="14" t="n"/>
    </row>
    <row r="19" ht="18" customHeight="1">
      <c r="B19" s="29" t="inlineStr">
        <is>
          <t>WordPress</t>
        </is>
      </c>
      <c r="C19" s="30" t="inlineStr">
        <is>
          <t>世界シェアNo.1のCMS</t>
        </is>
      </c>
      <c r="E19" s="29" t="inlineStr">
        <is>
          <t>自社で更新したい</t>
        </is>
      </c>
      <c r="F19" s="30" t="inlineStr">
        <is>
          <t>クライアントが自社で更新</t>
        </is>
      </c>
    </row>
    <row r="20" ht="18" customHeight="1">
      <c r="B20" s="29" t="inlineStr">
        <is>
          <t>Shopify</t>
        </is>
      </c>
      <c r="C20" s="30" t="inlineStr">
        <is>
          <t>ECに特化したプラットフォーム</t>
        </is>
      </c>
      <c r="E20" s="29" t="inlineStr">
        <is>
          <t>運用も依頼したい</t>
        </is>
      </c>
      <c r="F20" s="30" t="inlineStr">
        <is>
          <t>制作会社に運用を委託</t>
        </is>
      </c>
    </row>
    <row r="21" ht="18" customHeight="1">
      <c r="B21" s="29" t="inlineStr">
        <is>
          <t>MakeShop</t>
        </is>
      </c>
      <c r="C21" s="30" t="inlineStr">
        <is>
          <t>国産ECプラットフォーム</t>
        </is>
      </c>
      <c r="E21" s="29" t="inlineStr">
        <is>
          <t>未定</t>
        </is>
      </c>
      <c r="F21" s="30" t="inlineStr">
        <is>
          <t>運用方針が未決定</t>
        </is>
      </c>
    </row>
    <row r="22" ht="18" customHeight="1">
      <c r="B22" s="29" t="inlineStr">
        <is>
          <t>Wix</t>
        </is>
      </c>
      <c r="C22" s="30" t="inlineStr">
        <is>
          <t>ノーコードWebサイトビルダー</t>
        </is>
      </c>
    </row>
    <row r="23" ht="22" customHeight="1">
      <c r="B23" s="29" t="inlineStr">
        <is>
          <t>STUDIO</t>
        </is>
      </c>
      <c r="C23" s="30" t="inlineStr">
        <is>
          <t>国産ノーコードデザインツール</t>
        </is>
      </c>
      <c r="E23" s="28" t="inlineStr">
        <is>
          <t>ドメイン・サーバー</t>
        </is>
      </c>
      <c r="F23" s="14" t="n"/>
    </row>
    <row r="24" ht="18" customHeight="1">
      <c r="B24" s="29" t="inlineStr">
        <is>
          <t>不明</t>
        </is>
      </c>
      <c r="C24" s="30" t="inlineStr">
        <is>
          <t>CMSが未決定・不明</t>
        </is>
      </c>
      <c r="E24" s="29" t="inlineStr">
        <is>
          <t>取得・契約済み</t>
        </is>
      </c>
      <c r="F24" s="30" t="inlineStr">
        <is>
          <t>既にドメイン・サーバーを保有</t>
        </is>
      </c>
    </row>
    <row r="25" ht="18" customHeight="1">
      <c r="B25" s="29" t="inlineStr">
        <is>
          <t>その他</t>
        </is>
      </c>
      <c r="C25" s="30" t="inlineStr">
        <is>
          <t>上記以外のCMS</t>
        </is>
      </c>
      <c r="E25" s="29" t="inlineStr">
        <is>
          <t>未取得（依頼希望）</t>
        </is>
      </c>
      <c r="F25" s="30" t="inlineStr">
        <is>
          <t>取得・契約を制作会社に依頼</t>
        </is>
      </c>
    </row>
    <row r="26" ht="18" customHeight="1">
      <c r="E26" s="29" t="inlineStr">
        <is>
          <t>不明</t>
        </is>
      </c>
      <c r="F26" s="30" t="inlineStr">
        <is>
          <t>状況が不明</t>
        </is>
      </c>
    </row>
    <row r="27" ht="22" customHeight="1">
      <c r="B27" s="28" t="inlineStr">
        <is>
          <t>デザインスタイル</t>
        </is>
      </c>
      <c r="C27" s="14" t="n"/>
    </row>
    <row r="28" ht="22" customHeight="1">
      <c r="B28" s="29" t="inlineStr">
        <is>
          <t>シンプル</t>
        </is>
      </c>
      <c r="C28" s="30" t="inlineStr">
        <is>
          <t>余白を活かしたミニマルデザイン</t>
        </is>
      </c>
      <c r="E28" s="28" t="inlineStr">
        <is>
          <t>SNS連携</t>
        </is>
      </c>
      <c r="F28" s="14" t="n"/>
    </row>
    <row r="29" ht="18" customHeight="1">
      <c r="B29" s="29" t="inlineStr">
        <is>
          <t>高級感</t>
        </is>
      </c>
      <c r="C29" s="30" t="inlineStr">
        <is>
          <t>上質・プレミアム感のあるデザイン</t>
        </is>
      </c>
      <c r="E29" s="29" t="inlineStr">
        <is>
          <t>Instagram</t>
        </is>
      </c>
      <c r="F29" s="30" t="inlineStr">
        <is>
          <t>Instagramフィード・リンク連携</t>
        </is>
      </c>
    </row>
    <row r="30" ht="18" customHeight="1">
      <c r="B30" s="29" t="inlineStr">
        <is>
          <t>ポップ</t>
        </is>
      </c>
      <c r="C30" s="30" t="inlineStr">
        <is>
          <t>カラフルで明るいデザイン</t>
        </is>
      </c>
      <c r="E30" s="29" t="inlineStr">
        <is>
          <t>X（旧Twitter）</t>
        </is>
      </c>
      <c r="F30" s="30" t="inlineStr">
        <is>
          <t>Xフィード・リンク連携</t>
        </is>
      </c>
    </row>
    <row r="31" ht="18" customHeight="1">
      <c r="B31" s="29" t="inlineStr">
        <is>
          <t>ナチュラル</t>
        </is>
      </c>
      <c r="C31" s="30" t="inlineStr">
        <is>
          <t>温かみのある自然系デザイン</t>
        </is>
      </c>
      <c r="E31" s="29" t="inlineStr">
        <is>
          <t>Facebook</t>
        </is>
      </c>
      <c r="F31" s="30" t="inlineStr">
        <is>
          <t>Facebookページ連携</t>
        </is>
      </c>
    </row>
    <row r="32" ht="18" customHeight="1">
      <c r="B32" s="29" t="inlineStr">
        <is>
          <t>クール</t>
        </is>
      </c>
      <c r="C32" s="30" t="inlineStr">
        <is>
          <t>スタイリッシュでモダンなデザイン</t>
        </is>
      </c>
      <c r="E32" s="29" t="inlineStr">
        <is>
          <t>LINE</t>
        </is>
      </c>
      <c r="F32" s="30" t="inlineStr">
        <is>
          <t>LINE公式アカウント連携</t>
        </is>
      </c>
    </row>
    <row r="33" ht="18" customHeight="1">
      <c r="B33" s="29" t="inlineStr">
        <is>
          <t>未定</t>
        </is>
      </c>
      <c r="C33" s="30" t="inlineStr">
        <is>
          <t>デザイン方向性が未決定</t>
        </is>
      </c>
      <c r="E33" s="29" t="inlineStr">
        <is>
          <t>Instagram＋X</t>
        </is>
      </c>
      <c r="F33" s="30" t="inlineStr">
        <is>
          <t>Instagram＋X両方</t>
        </is>
      </c>
    </row>
    <row r="34" ht="18" customHeight="1">
      <c r="E34" s="29" t="inlineStr">
        <is>
          <t>Instagram＋LINE</t>
        </is>
      </c>
      <c r="F34" s="30" t="inlineStr">
        <is>
          <t>Instagram＋LINE両方</t>
        </is>
      </c>
    </row>
    <row r="35" ht="18" customHeight="1">
      <c r="B35" s="28" t="inlineStr">
        <is>
          <t>SEO対策</t>
        </is>
      </c>
      <c r="C35" s="14" t="n"/>
      <c r="E35" s="29" t="inlineStr">
        <is>
          <t>その他</t>
        </is>
      </c>
      <c r="F35" s="30" t="inlineStr">
        <is>
          <t>上記以外のSNS</t>
        </is>
      </c>
    </row>
    <row r="36" ht="18" customHeight="1">
      <c r="B36" s="29" t="inlineStr">
        <is>
          <t>強く希望する</t>
        </is>
      </c>
      <c r="C36" s="30" t="inlineStr">
        <is>
          <t>SEO施策を積極的に実施</t>
        </is>
      </c>
      <c r="E36" s="29" t="inlineStr">
        <is>
          <t>不要</t>
        </is>
      </c>
      <c r="F36" s="30" t="inlineStr">
        <is>
          <t>SNS連携なし</t>
        </is>
      </c>
    </row>
    <row r="37" ht="18" customHeight="1">
      <c r="B37" s="29" t="inlineStr">
        <is>
          <t>最低限でよい</t>
        </is>
      </c>
      <c r="C37" s="30" t="inlineStr">
        <is>
          <t>基本的なSEO設定のみ</t>
        </is>
      </c>
    </row>
    <row r="38" ht="18" customHeight="1">
      <c r="B38" s="29" t="inlineStr">
        <is>
          <t>不要</t>
        </is>
      </c>
      <c r="C38" s="30" t="inlineStr">
        <is>
          <t>SEO対策は不要</t>
        </is>
      </c>
    </row>
  </sheetData>
  <mergeCells count="12">
    <mergeCell ref="B13:C13"/>
    <mergeCell ref="B7:C7"/>
    <mergeCell ref="E7:F7"/>
    <mergeCell ref="B5:F5"/>
    <mergeCell ref="E28:F28"/>
    <mergeCell ref="E23:F23"/>
    <mergeCell ref="E13:F13"/>
    <mergeCell ref="B1:F4"/>
    <mergeCell ref="B27:C27"/>
    <mergeCell ref="E18:F18"/>
    <mergeCell ref="B35:C35"/>
    <mergeCell ref="B18:C18"/>
  </mergeCells>
  <pageMargins left="0.75" right="0.75" top="1" bottom="1" header="0.5" footer="0.5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2026-03-01T04:37:42Z</dcterms:created>
  <dcterms:modified xmlns:dcterms="http://purl.org/dc/terms/" xmlns:xsi="http://www.w3.org/2001/XMLSchema-instance" xsi:type="dcterms:W3CDTF">2026-03-01T04:48:49Z</dcterms:modified>
</cp:coreProperties>
</file>