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ヒアリングシート" sheetId="1" state="visible" r:id="rId1"/>
    <sheet xmlns:r="http://schemas.openxmlformats.org/officeDocument/2006/relationships" name="案件サマリー" sheetId="2" state="visible" r:id="rId2"/>
    <sheet xmlns:r="http://schemas.openxmlformats.org/officeDocument/2006/relationships" name="マスターデータ" sheetId="3" state="visible" r:id="rId3"/>
  </sheets>
  <definedNames>
    <definedName name="_xlnm.Print_Titles" localSheetId="0">'ヒアリングシート'!$1:$5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20">
    <font>
      <name val="Calibri"/>
      <family val="2"/>
      <color theme="1"/>
      <sz val="11"/>
      <scheme val="minor"/>
    </font>
    <font>
      <name val="Yu Gothic"/>
      <b val="1"/>
      <color rgb="00FFFFFF"/>
      <sz val="20"/>
    </font>
    <font>
      <name val="Yu Gothic"/>
      <color rgb="00FFFFFF"/>
      <sz val="10"/>
    </font>
    <font>
      <name val="Yu Gothic"/>
      <b val="1"/>
      <color rgb="00FFFFFF"/>
      <sz val="12"/>
    </font>
    <font>
      <name val="Yu Gothic"/>
      <b val="1"/>
      <color rgb="00C8A84B"/>
      <sz val="10"/>
    </font>
    <font>
      <name val="Yu Gothic"/>
      <i val="1"/>
      <color rgb="00BBBBBB"/>
      <sz val="10"/>
    </font>
    <font>
      <name val="Yu Gothic"/>
      <b val="1"/>
      <color rgb="001A2B4A"/>
      <sz val="10"/>
    </font>
    <font>
      <name val="Yu Gothic"/>
      <b val="1"/>
      <color rgb="004A90D9"/>
      <sz val="11"/>
    </font>
    <font>
      <name val="Yu Gothic"/>
      <i val="1"/>
      <color rgb="00888888"/>
      <sz val="9"/>
    </font>
    <font>
      <name val="Yu Gothic"/>
      <color rgb="00444444"/>
      <sz val="10"/>
    </font>
    <font>
      <name val="Yu Gothic"/>
      <b val="1"/>
      <color rgb="004A90D9"/>
      <sz val="22"/>
    </font>
    <font>
      <name val="Yu Gothic"/>
      <color rgb="00444444"/>
      <sz val="11"/>
    </font>
    <font>
      <name val="Yu Gothic"/>
      <b val="1"/>
      <color rgb="001A2B4A"/>
      <sz val="11"/>
    </font>
    <font>
      <name val="Yu Gothic"/>
      <b val="1"/>
      <color rgb="00FFFFFF"/>
      <sz val="18"/>
    </font>
    <font>
      <name val="Yu Gothic"/>
      <color rgb="00FFFFFF"/>
      <sz val="9"/>
    </font>
    <font>
      <name val="Yu Gothic"/>
      <b val="1"/>
      <color rgb="004A90D9"/>
      <sz val="12"/>
    </font>
    <font>
      <name val="Yu Gothic"/>
      <b val="1"/>
      <color rgb="001A2B4A"/>
      <sz val="13"/>
    </font>
    <font>
      <name val="Yu Gothic"/>
      <b val="1"/>
      <color rgb="00FFFFFF"/>
      <sz val="14"/>
    </font>
    <font>
      <name val="Yu Gothic"/>
      <b val="1"/>
      <color rgb="00FFFFFF"/>
      <sz val="10"/>
    </font>
    <font>
      <name val="Yu Gothic"/>
      <i val="1"/>
      <color rgb="00444444"/>
      <sz val="9"/>
    </font>
  </fonts>
  <fills count="9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4A90D9"/>
      </patternFill>
    </fill>
    <fill>
      <patternFill patternType="solid">
        <fgColor rgb="00EBF3FB"/>
      </patternFill>
    </fill>
    <fill>
      <patternFill patternType="solid">
        <fgColor rgb="00FAFCFF"/>
      </patternFill>
    </fill>
    <fill>
      <patternFill patternType="solid">
        <fgColor rgb="00F5F5F5"/>
      </patternFill>
    </fill>
    <fill>
      <patternFill patternType="solid">
        <fgColor rgb="00D6E8F7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indent="1"/>
    </xf>
    <xf numFmtId="164" fontId="0" fillId="5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top" wrapText="1" indent="1"/>
    </xf>
    <xf numFmtId="0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indent="1"/>
    </xf>
    <xf numFmtId="0" fontId="13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 wrapText="1" indent="1"/>
    </xf>
    <xf numFmtId="0" fontId="9" fillId="8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top" indent="1"/>
    </xf>
    <xf numFmtId="0" fontId="9" fillId="8" borderId="1" applyAlignment="1" pivotButton="0" quotePrefix="0" xfId="0">
      <alignment horizontal="left" vertical="top" wrapText="1" indent="1"/>
    </xf>
    <xf numFmtId="0" fontId="16" fillId="6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left" vertical="center" indent="2"/>
    </xf>
    <xf numFmtId="0" fontId="19" fillId="8" borderId="1" applyAlignment="1" pivotButton="0" quotePrefix="0" xfId="0">
      <alignment horizontal="left" vertical="center" indent="1"/>
    </xf>
  </cellXfs>
  <cellStyles count="1">
    <cellStyle name="Normal" xfId="0" builtinId="0" hidden="0"/>
  </cellStyles>
  <dxfs count="5">
    <dxf>
      <font>
        <name val="Yu Gothic"/>
        <b val="1"/>
        <color rgb="001B5E20"/>
        <sz val="11"/>
      </font>
      <fill>
        <patternFill patternType="solid">
          <fgColor rgb="00C8E6C9"/>
        </patternFill>
      </fill>
    </dxf>
    <dxf>
      <font>
        <name val="Yu Gothic"/>
        <b val="1"/>
        <color rgb="00E65100"/>
        <sz val="11"/>
      </font>
      <fill>
        <patternFill patternType="solid">
          <fgColor rgb="00FFF9C4"/>
        </patternFill>
      </fill>
    </dxf>
    <dxf>
      <font>
        <name val="Yu Gothic"/>
        <b val="1"/>
        <color rgb="00B71C1C"/>
        <sz val="11"/>
      </font>
      <fill>
        <patternFill patternType="solid">
          <fgColor rgb="00FFCDD2"/>
        </patternFill>
      </fill>
    </dxf>
    <dxf>
      <font>
        <name val="Yu Gothic"/>
        <b val="1"/>
        <color rgb="001B5E20"/>
        <sz val="10"/>
      </font>
      <fill>
        <patternFill patternType="solid">
          <fgColor rgb="00C8E6C9"/>
        </patternFill>
      </fill>
    </dxf>
    <dxf>
      <font>
        <name val="Yu Gothic"/>
        <b val="1"/>
        <color rgb="00B71C1C"/>
        <sz val="10"/>
      </font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B4A"/>
    <outlinePr summaryBelow="1" summaryRight="1"/>
    <pageSetUpPr/>
  </sheetPr>
  <dimension ref="B1:F59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4" customWidth="1" min="2" max="2"/>
    <col width="30" customWidth="1" min="3" max="3"/>
    <col width="2" customWidth="1" min="4" max="4"/>
    <col width="24" customWidth="1" min="5" max="5"/>
    <col width="30" customWidth="1" min="6" max="6"/>
    <col width="1.5" customWidth="1" min="7" max="7"/>
  </cols>
  <sheetData>
    <row r="1" ht="18" customHeight="1">
      <c r="B1" s="1" t="inlineStr">
        <is>
          <t>Web 制作  事前ヒアリングシート</t>
        </is>
      </c>
    </row>
    <row r="2" ht="18" customHeight="1"/>
    <row r="3" ht="18" customHeight="1"/>
    <row r="4" ht="18" customHeight="1"/>
    <row r="5" ht="18" customHeight="1">
      <c r="B5" s="2" t="inlineStr">
        <is>
          <t>契約前の事前ヒアリング　　★ = 必須項目</t>
        </is>
      </c>
    </row>
    <row r="7" ht="22" customHeight="1">
      <c r="B7" s="3" t="inlineStr">
        <is>
          <t xml:space="preserve">  ① 基本情報</t>
        </is>
      </c>
    </row>
    <row r="8" ht="22" customHeight="1">
      <c r="B8" s="4" t="inlineStr">
        <is>
          <t>★ 会社名 / 個人名</t>
        </is>
      </c>
      <c r="C8" s="5" t="inlineStr">
        <is>
          <t>例）株式会社〇〇 / 山田 太郎</t>
        </is>
      </c>
    </row>
    <row r="9" ht="22" customHeight="1">
      <c r="B9" s="6" t="inlineStr">
        <is>
          <t xml:space="preserve">　 担当者名</t>
        </is>
      </c>
      <c r="C9" s="5" t="inlineStr">
        <is>
          <t>例）田中 花子</t>
        </is>
      </c>
    </row>
    <row r="10" ht="22" customHeight="1">
      <c r="B10" s="6" t="inlineStr">
        <is>
          <t xml:space="preserve">　 メールアドレス</t>
        </is>
      </c>
      <c r="C10" s="5" t="inlineStr">
        <is>
          <t>例）info@example.com</t>
        </is>
      </c>
    </row>
    <row r="11" ht="22" customHeight="1">
      <c r="B11" s="6" t="inlineStr">
        <is>
          <t xml:space="preserve">　 電話番号</t>
        </is>
      </c>
      <c r="C11" s="5" t="inlineStr">
        <is>
          <t>例）03-1234-5678</t>
        </is>
      </c>
    </row>
    <row r="12" ht="22" customHeight="1">
      <c r="B12" s="6" t="inlineStr">
        <is>
          <t xml:space="preserve">　 ヒアリング実施日</t>
        </is>
      </c>
      <c r="C12" s="7" t="n"/>
      <c r="E12" s="4" t="inlineStr">
        <is>
          <t>★ 希望納期</t>
        </is>
      </c>
      <c r="F12" s="7" t="n"/>
    </row>
    <row r="13" ht="22" customHeight="1">
      <c r="B13" s="4" t="inlineStr">
        <is>
          <t>★ ご予算（目安）</t>
        </is>
      </c>
      <c r="C13" s="5" t="inlineStr">
        <is>
          <t>例）30〜50万円 / 月額20万円 など</t>
        </is>
      </c>
    </row>
    <row r="14" ht="22" customHeight="1">
      <c r="B14" s="4" t="inlineStr">
        <is>
          <t>★ 依頼の目的・ゴール</t>
        </is>
      </c>
      <c r="C14" s="5" t="inlineStr">
        <is>
          <t>例）問い合わせ件数を増やしたい / 採用強化 / ブランド認知向上</t>
        </is>
      </c>
    </row>
    <row r="16" ht="22" customHeight="1">
      <c r="B16" s="3" t="inlineStr">
        <is>
          <t xml:space="preserve">  ② 優先度・重視ポイント（1つ選択）</t>
        </is>
      </c>
    </row>
    <row r="17" ht="24" customHeight="1">
      <c r="B17" s="6" t="inlineStr">
        <is>
          <t xml:space="preserve">　 最も重視するポイント</t>
        </is>
      </c>
      <c r="C17" s="8" t="inlineStr">
        <is>
          <t>クオリティー</t>
        </is>
      </c>
      <c r="E17" s="9" t="inlineStr">
        <is>
          <t>制作提案時の重視点として使用します</t>
        </is>
      </c>
    </row>
    <row r="19" ht="22" customHeight="1">
      <c r="B19" s="3" t="inlineStr">
        <is>
          <t xml:space="preserve">  ③ 素材・テキスト準備状況</t>
        </is>
      </c>
    </row>
    <row r="20" ht="22" customHeight="1">
      <c r="B20" s="6" t="inlineStr">
        <is>
          <t xml:space="preserve">　 テキスト原稿の準備</t>
        </is>
      </c>
      <c r="C20" s="10" t="inlineStr">
        <is>
          <t>なし</t>
        </is>
      </c>
      <c r="E20" s="6" t="inlineStr">
        <is>
          <t xml:space="preserve">　 写真・ロゴ等の素材</t>
        </is>
      </c>
      <c r="F20" s="10" t="inlineStr">
        <is>
          <t>なし（用意が必要）</t>
        </is>
      </c>
    </row>
    <row r="22" ht="22" customHeight="1">
      <c r="B22" s="3" t="inlineStr">
        <is>
          <t xml:space="preserve">  ④ 制作依頼内容</t>
        </is>
      </c>
    </row>
    <row r="23" ht="22" customHeight="1">
      <c r="B23" s="4" t="inlineStr">
        <is>
          <t>★ 制作範囲</t>
        </is>
      </c>
      <c r="C23" s="10" t="inlineStr">
        <is>
          <t>新規制作</t>
        </is>
      </c>
      <c r="E23" s="6" t="inlineStr">
        <is>
          <t xml:space="preserve">　 依頼内容（複数可）</t>
        </is>
      </c>
      <c r="F23" s="10" t="inlineStr">
        <is>
          <t>デザイン＋コーディング</t>
        </is>
      </c>
    </row>
    <row r="24" ht="22" customHeight="1">
      <c r="B24" s="4" t="inlineStr">
        <is>
          <t>★ LPの内容・ページ概要</t>
        </is>
      </c>
      <c r="C24" s="11" t="inlineStr">
        <is>
          <t>例）美容クリニックの糸リフトLP</t>
        </is>
      </c>
    </row>
    <row r="25" ht="22" customHeight="1">
      <c r="B25" s="12" t="n"/>
    </row>
    <row r="26" ht="22" customHeight="1">
      <c r="B26" s="6" t="inlineStr">
        <is>
          <t xml:space="preserve">　 機能実装の希望</t>
        </is>
      </c>
      <c r="C26" s="10" t="inlineStr">
        <is>
          <t>未定</t>
        </is>
      </c>
      <c r="E26" s="4" t="inlineStr">
        <is>
          <t>★ 想定するCMS</t>
        </is>
      </c>
      <c r="F26" s="10" t="inlineStr">
        <is>
          <t>WordPress</t>
        </is>
      </c>
    </row>
    <row r="27" ht="22" customHeight="1">
      <c r="B27" s="6" t="inlineStr">
        <is>
          <t xml:space="preserve">　 希望する機能の詳細</t>
        </is>
      </c>
      <c r="C27" s="5" t="inlineStr">
        <is>
          <t>例）会員登録、予約、決済、会員別表示など</t>
        </is>
      </c>
    </row>
    <row r="28" ht="22" customHeight="1">
      <c r="B28" s="6" t="inlineStr">
        <is>
          <t xml:space="preserve">　 フォーム実装</t>
        </is>
      </c>
      <c r="C28" s="10" t="inlineStr">
        <is>
          <t>未定</t>
        </is>
      </c>
    </row>
    <row r="29" ht="22" customHeight="1">
      <c r="B29" s="6" t="inlineStr">
        <is>
          <t xml:space="preserve">　 参考サイト（任意）</t>
        </is>
      </c>
      <c r="C29" s="5" t="inlineStr">
        <is>
          <t>例）https://example.com/</t>
        </is>
      </c>
    </row>
    <row r="31" ht="22" customHeight="1">
      <c r="B31" s="3" t="inlineStr">
        <is>
          <t xml:space="preserve">  ⑤ デザイン希望</t>
        </is>
      </c>
    </row>
    <row r="32" ht="22" customHeight="1">
      <c r="B32" s="6" t="inlineStr">
        <is>
          <t xml:space="preserve">　 デザインスタイル</t>
        </is>
      </c>
      <c r="C32" s="10" t="inlineStr">
        <is>
          <t>未定</t>
        </is>
      </c>
      <c r="E32" s="6" t="inlineStr">
        <is>
          <t xml:space="preserve">　 アニメーション</t>
        </is>
      </c>
      <c r="F32" s="10" t="inlineStr">
        <is>
          <t>お任せ</t>
        </is>
      </c>
    </row>
    <row r="33" ht="22" customHeight="1">
      <c r="B33" s="6" t="inlineStr">
        <is>
          <t xml:space="preserve">　 クオリティーレベル</t>
        </is>
      </c>
      <c r="C33" s="10" t="inlineStr">
        <is>
          <t>NORMAL</t>
        </is>
      </c>
    </row>
    <row r="35" ht="22" customHeight="1">
      <c r="B35" s="3" t="inlineStr">
        <is>
          <t xml:space="preserve">  ⑥ 公開後・運用体制</t>
        </is>
      </c>
    </row>
    <row r="36" ht="22" customHeight="1">
      <c r="B36" s="4" t="inlineStr">
        <is>
          <t>★ 公開後の運用体制</t>
        </is>
      </c>
      <c r="C36" s="10" t="inlineStr">
        <is>
          <t>未定</t>
        </is>
      </c>
      <c r="E36" s="6" t="inlineStr">
        <is>
          <t xml:space="preserve">　 アフターサポート希望</t>
        </is>
      </c>
      <c r="F36" s="5" t="inlineStr">
        <is>
          <t>例）月次レポート、セキュリティ更新、トラブル対応</t>
        </is>
      </c>
    </row>
    <row r="38" ht="22" customHeight="1">
      <c r="B38" s="3" t="inlineStr">
        <is>
          <t xml:space="preserve">  ⑦ 技術・環境関連</t>
        </is>
      </c>
    </row>
    <row r="39" ht="22" customHeight="1">
      <c r="B39" s="4" t="inlineStr">
        <is>
          <t>★ ドメイン・サーバー</t>
        </is>
      </c>
      <c r="C39" s="10" t="inlineStr">
        <is>
          <t>不明</t>
        </is>
      </c>
      <c r="E39" s="4" t="inlineStr">
        <is>
          <t>★ SEO対策の希望</t>
        </is>
      </c>
      <c r="F39" s="10" t="inlineStr">
        <is>
          <t>最低限でよい</t>
        </is>
      </c>
    </row>
    <row r="40" ht="22" customHeight="1">
      <c r="B40" s="6" t="inlineStr">
        <is>
          <t xml:space="preserve">　 SNS連携</t>
        </is>
      </c>
      <c r="C40" s="10" t="inlineStr">
        <is>
          <t>Instagram</t>
        </is>
      </c>
      <c r="D40" s="13" t="n"/>
      <c r="E40" s="13" t="n"/>
      <c r="F40" s="14" t="n"/>
    </row>
    <row r="42" ht="22" customHeight="1">
      <c r="B42" s="3" t="inlineStr">
        <is>
          <t xml:space="preserve">  ⑧ 備考・その他ご要望</t>
        </is>
      </c>
    </row>
    <row r="43" ht="20" customHeight="1">
      <c r="B43" s="6" t="inlineStr">
        <is>
          <t xml:space="preserve">　 その他ご要望・補足</t>
        </is>
      </c>
      <c r="C43" s="11" t="inlineStr">
        <is>
          <t>自由にご記入ください</t>
        </is>
      </c>
    </row>
    <row r="44" ht="20" customHeight="1">
      <c r="B44" s="12" t="n"/>
    </row>
    <row r="45" ht="20" customHeight="1">
      <c r="B45" s="12" t="n"/>
    </row>
    <row r="46" ht="20" customHeight="1">
      <c r="B46" s="12" t="n"/>
    </row>
    <row r="48" ht="22" customHeight="1">
      <c r="B48" s="15" t="inlineStr">
        <is>
          <t xml:space="preserve">  ◆ 入力チェック（必須項目）</t>
        </is>
      </c>
    </row>
    <row r="49" ht="36" customHeight="1">
      <c r="B49" s="16">
        <f>COUNTA(C8,F12,C13,C14,C23,F26,C36,C39,F39)</f>
        <v/>
      </c>
      <c r="D49" s="17" t="inlineStr">
        <is>
          <t>/ 9 項目入力済み</t>
        </is>
      </c>
      <c r="E49" s="18">
        <f>IFS(COUNTA(C8,F12,C13,C14,C23,F26,C36,C39,F39)=9,"✔  入力完了 — 送付可能",COUNTA(C8,F12,C13,C14,C23,F26,C36,C39,F39)&gt;=5,"⚠  入力中 — 残り項目あり",TRUE,"✗  未入力項目が多数あります")</f>
        <v/>
      </c>
    </row>
    <row r="50" ht="16" customHeight="1"/>
    <row r="51" ht="18" customHeight="1">
      <c r="B51" s="18">
        <f>IF(IFERROR(LEN(C8)&gt;0,FALSE),"✔","✗")</f>
        <v/>
      </c>
      <c r="C51" s="19" t="inlineStr">
        <is>
          <t>会社名 / 個人名</t>
        </is>
      </c>
    </row>
    <row r="52" ht="18" customHeight="1">
      <c r="B52" s="18">
        <f>IF(IFERROR(LEN(F12)&gt;0,FALSE),"✔","✗")</f>
        <v/>
      </c>
      <c r="C52" s="19" t="inlineStr">
        <is>
          <t>希望納期</t>
        </is>
      </c>
    </row>
    <row r="53" ht="18" customHeight="1">
      <c r="B53" s="18">
        <f>IF(IFERROR(LEN(C13)&gt;0,FALSE),"✔","✗")</f>
        <v/>
      </c>
      <c r="C53" s="19" t="inlineStr">
        <is>
          <t>ご予算</t>
        </is>
      </c>
    </row>
    <row r="54" ht="18" customHeight="1">
      <c r="B54" s="18">
        <f>IF(IFERROR(LEN(C14)&gt;0,FALSE),"✔","✗")</f>
        <v/>
      </c>
      <c r="C54" s="19" t="inlineStr">
        <is>
          <t>依頼の目的・ゴール</t>
        </is>
      </c>
    </row>
    <row r="55" ht="18" customHeight="1">
      <c r="B55" s="18">
        <f>IF(IFERROR(LEN(C23)&gt;0,FALSE),"✔","✗")</f>
        <v/>
      </c>
      <c r="C55" s="19" t="inlineStr">
        <is>
          <t>制作範囲</t>
        </is>
      </c>
    </row>
    <row r="56" ht="18" customHeight="1">
      <c r="B56" s="18">
        <f>IF(IFERROR(LEN(F26)&gt;0,FALSE),"✔","✗")</f>
        <v/>
      </c>
      <c r="C56" s="19" t="inlineStr">
        <is>
          <t>想定するCMS</t>
        </is>
      </c>
    </row>
    <row r="57" ht="18" customHeight="1">
      <c r="B57" s="18">
        <f>IF(IFERROR(LEN(C36)&gt;0,FALSE),"✔","✗")</f>
        <v/>
      </c>
      <c r="C57" s="19" t="inlineStr">
        <is>
          <t>公開後の運用体制</t>
        </is>
      </c>
    </row>
    <row r="58" ht="18" customHeight="1">
      <c r="B58" s="18">
        <f>IF(IFERROR(LEN(C39)&gt;0,FALSE),"✔","✗")</f>
        <v/>
      </c>
      <c r="C58" s="19" t="inlineStr">
        <is>
          <t>ドメイン・サーバー</t>
        </is>
      </c>
    </row>
    <row r="59" ht="18" customHeight="1">
      <c r="B59" s="18">
        <f>IF(IFERROR(LEN(F39)&gt;0,FALSE),"✔","✗")</f>
        <v/>
      </c>
      <c r="C59" s="19" t="inlineStr">
        <is>
          <t>SEO対策の希望</t>
        </is>
      </c>
    </row>
  </sheetData>
  <mergeCells count="25">
    <mergeCell ref="B7:F7"/>
    <mergeCell ref="C8:F8"/>
    <mergeCell ref="B16:F16"/>
    <mergeCell ref="B31:F31"/>
    <mergeCell ref="B1:F4"/>
    <mergeCell ref="B22:F22"/>
    <mergeCell ref="E17:F17"/>
    <mergeCell ref="C13:F13"/>
    <mergeCell ref="B48:F48"/>
    <mergeCell ref="B42:F42"/>
    <mergeCell ref="C14:F14"/>
    <mergeCell ref="C43:F46"/>
    <mergeCell ref="B38:F38"/>
    <mergeCell ref="E49:F49"/>
    <mergeCell ref="B19:F19"/>
    <mergeCell ref="C29:F29"/>
    <mergeCell ref="C10:F10"/>
    <mergeCell ref="B49:C49"/>
    <mergeCell ref="C40:F40"/>
    <mergeCell ref="C9:F9"/>
    <mergeCell ref="B5:F5"/>
    <mergeCell ref="C11:F11"/>
    <mergeCell ref="C27:F27"/>
    <mergeCell ref="C24:F25"/>
    <mergeCell ref="B35:F35"/>
  </mergeCells>
  <conditionalFormatting sqref="E49:F49">
    <cfRule type="expression" priority="1" dxfId="0">
      <formula>COUNTA(C8,F12,C13,C14,C23,F26,C36,C39,F39)=9</formula>
    </cfRule>
    <cfRule type="expression" priority="2" dxfId="1">
      <formula>AND(COUNTA(C8,F12,C13,C14,C23,F26,C36,C39,F39)&gt;=5,COUNTA(C8,F12,C13,C14,C23,F26,C36,C39,F39)&lt;9)</formula>
    </cfRule>
    <cfRule type="expression" priority="3" dxfId="2">
      <formula>COUNTA(C8,F12,C13,C14,C23,F26,C36,C39,F39)&lt;5</formula>
    </cfRule>
  </conditionalFormatting>
  <conditionalFormatting sqref="B51:C51">
    <cfRule type="expression" priority="4" dxfId="3">
      <formula>LEN(C8)&gt;0</formula>
    </cfRule>
    <cfRule type="expression" priority="5" dxfId="4">
      <formula>LEN(C8)=0</formula>
    </cfRule>
  </conditionalFormatting>
  <conditionalFormatting sqref="B52:C52">
    <cfRule type="expression" priority="6" dxfId="3">
      <formula>LEN(F12)&gt;0</formula>
    </cfRule>
    <cfRule type="expression" priority="7" dxfId="4">
      <formula>LEN(F12)=0</formula>
    </cfRule>
  </conditionalFormatting>
  <conditionalFormatting sqref="B53:C53">
    <cfRule type="expression" priority="8" dxfId="3">
      <formula>LEN(C13)&gt;0</formula>
    </cfRule>
    <cfRule type="expression" priority="9" dxfId="4">
      <formula>LEN(C13)=0</formula>
    </cfRule>
  </conditionalFormatting>
  <conditionalFormatting sqref="B54:C54">
    <cfRule type="expression" priority="10" dxfId="3">
      <formula>LEN(C14)&gt;0</formula>
    </cfRule>
    <cfRule type="expression" priority="11" dxfId="4">
      <formula>LEN(C14)=0</formula>
    </cfRule>
  </conditionalFormatting>
  <conditionalFormatting sqref="B55:C55">
    <cfRule type="expression" priority="12" dxfId="3">
      <formula>LEN(C23)&gt;0</formula>
    </cfRule>
    <cfRule type="expression" priority="13" dxfId="4">
      <formula>LEN(C23)=0</formula>
    </cfRule>
  </conditionalFormatting>
  <conditionalFormatting sqref="B56:C56">
    <cfRule type="expression" priority="14" dxfId="3">
      <formula>LEN(F26)&gt;0</formula>
    </cfRule>
    <cfRule type="expression" priority="15" dxfId="4">
      <formula>LEN(F26)=0</formula>
    </cfRule>
  </conditionalFormatting>
  <conditionalFormatting sqref="B57:C57">
    <cfRule type="expression" priority="16" dxfId="3">
      <formula>LEN(C36)&gt;0</formula>
    </cfRule>
    <cfRule type="expression" priority="17" dxfId="4">
      <formula>LEN(C36)=0</formula>
    </cfRule>
  </conditionalFormatting>
  <conditionalFormatting sqref="B58:C58">
    <cfRule type="expression" priority="18" dxfId="3">
      <formula>LEN(C39)&gt;0</formula>
    </cfRule>
    <cfRule type="expression" priority="19" dxfId="4">
      <formula>LEN(C39)=0</formula>
    </cfRule>
  </conditionalFormatting>
  <conditionalFormatting sqref="B59:C59">
    <cfRule type="expression" priority="20" dxfId="3">
      <formula>LEN(F39)&gt;0</formula>
    </cfRule>
    <cfRule type="expression" priority="21" dxfId="4">
      <formula>LEN(F39)=0</formula>
    </cfRule>
  </conditionalFormatting>
  <dataValidations count="15">
    <dataValidation sqref="C17" showDropDown="0" showInputMessage="0" showErrorMessage="1" allowBlank="1" errorTitle="入力エラー" error="リストから選択してください" type="list">
      <formula1>"クオリティー,コスト,速さ,機能性"</formula1>
    </dataValidation>
    <dataValidation sqref="C20" showDropDown="0" showInputMessage="0" showErrorMessage="1" allowBlank="1" errorTitle="入力エラー" error="リストから選択してください" type="list">
      <formula1>"あり,なし"</formula1>
    </dataValidation>
    <dataValidation sqref="F20" showDropDown="0" showInputMessage="0" showErrorMessage="1" allowBlank="1" errorTitle="入力エラー" error="リストから選択してください" type="list">
      <formula1>"あり,なし（用意が必要）,一部あり"</formula1>
    </dataValidation>
    <dataValidation sqref="C23" showDropDown="0" showInputMessage="0" showErrorMessage="1" allowBlank="1" errorTitle="入力エラー" error="リストから選択してください" type="list">
      <formula1>"新規制作,リニューアル,一部修正"</formula1>
    </dataValidation>
    <dataValidation sqref="F23" showDropDown="0" showInputMessage="0" showErrorMessage="1" allowBlank="1" errorTitle="入力エラー" error="リストから選択してください" type="list">
      <formula1>"テキスト,デザイン,コーディング,テキスト＋デザイン,デザイン＋コーディング,全て"</formula1>
    </dataValidation>
    <dataValidation sqref="C26" showDropDown="0" showInputMessage="0" showErrorMessage="1" allowBlank="1" errorTitle="入力エラー" error="リストから選択してください" type="list">
      <formula1>"あり,なし,未定"</formula1>
    </dataValidation>
    <dataValidation sqref="F26" showDropDown="0" showInputMessage="0" showErrorMessage="1" allowBlank="1" errorTitle="入力エラー" error="リストから選択してください" type="list">
      <formula1>"WordPress,Shopify,MakeShop,Wix,STUDIO,不明,その他"</formula1>
    </dataValidation>
    <dataValidation sqref="C28" showDropDown="0" showInputMessage="0" showErrorMessage="1" allowBlank="1" errorTitle="入力エラー" error="リストから選択してください" type="list">
      <formula1>"あり,なし,未定"</formula1>
    </dataValidation>
    <dataValidation sqref="C32" showDropDown="0" showInputMessage="0" showErrorMessage="1" allowBlank="1" errorTitle="入力エラー" error="リストから選択してください" type="list">
      <formula1>"シンプル,高級感,ポップ,ナチュラル,クール,未定"</formula1>
    </dataValidation>
    <dataValidation sqref="F32" showDropDown="0" showInputMessage="0" showErrorMessage="1" allowBlank="1" errorTitle="入力エラー" error="リストから選択してください" type="list">
      <formula1>"ダイナミックアニメーション（かなり動きます）,少なめ,お任せ,無し"</formula1>
    </dataValidation>
    <dataValidation sqref="C33" showDropDown="0" showInputMessage="0" showErrorMessage="1" allowBlank="1" errorTitle="入力エラー" error="リストから選択してください" type="list">
      <formula1>"ハイクオリティー（ダイナミックアニメーションや機能性LP）,NORMAL,画像ベース"</formula1>
    </dataValidation>
    <dataValidation sqref="C36" showDropDown="0" showInputMessage="0" showErrorMessage="1" allowBlank="1" errorTitle="入力エラー" error="リストから選択してください" type="list">
      <formula1>"自社で更新したい,運用も依頼したい,未定"</formula1>
    </dataValidation>
    <dataValidation sqref="C39" showDropDown="0" showInputMessage="0" showErrorMessage="1" allowBlank="1" errorTitle="入力エラー" error="リストから選択してください" type="list">
      <formula1>"取得・契約済み,未取得（依頼希望）,不明"</formula1>
    </dataValidation>
    <dataValidation sqref="F39" showDropDown="0" showInputMessage="0" showErrorMessage="1" allowBlank="1" errorTitle="入力エラー" error="リストから選択してください" type="list">
      <formula1>"強く希望する,最低限でよい,不要"</formula1>
    </dataValidation>
    <dataValidation sqref="C40" showDropDown="0" showInputMessage="0" showErrorMessage="1" allowBlank="1" errorTitle="入力エラー" error="リストから選択してください" type="list">
      <formula1>"Instagram,X（旧Twitter）,Facebook,LINE,Instagram＋X,Instagram＋LINE,その他,不要"</formula1>
    </dataValidation>
  </dataValidations>
  <pageMargins left="0.5" right="0.5" top="0.75" bottom="0.75" header="0.5" footer="0.5"/>
  <pageSetup orientation="portrait" paperSize="9"/>
</worksheet>
</file>

<file path=xl/worksheets/sheet2.xml><?xml version="1.0" encoding="utf-8"?>
<worksheet xmlns="http://schemas.openxmlformats.org/spreadsheetml/2006/main">
  <sheetPr>
    <tabColor rgb="004A90D9"/>
    <outlinePr summaryBelow="1" summaryRight="1"/>
    <pageSetUpPr/>
  </sheetPr>
  <dimension ref="B1:F4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8" customWidth="1" min="2" max="2"/>
    <col width="38" customWidth="1" min="3" max="3"/>
    <col width="1.5" customWidth="1" min="4" max="4"/>
    <col width="20" customWidth="1" min="5" max="5"/>
    <col width="24" customWidth="1" min="6" max="6"/>
    <col width="1.5" customWidth="1" min="7" max="7"/>
  </cols>
  <sheetData>
    <row r="1" ht="18" customHeight="1">
      <c r="B1" s="20" t="inlineStr">
        <is>
          <t>案件サマリー  ／  自動集計シート</t>
        </is>
      </c>
    </row>
    <row r="2" ht="18" customHeight="1"/>
    <row r="3" ht="18" customHeight="1"/>
    <row r="4" ht="18" customHeight="1"/>
    <row r="5" ht="16" customHeight="1">
      <c r="B5" s="21" t="inlineStr">
        <is>
          <t>ヒアリングシートの入力内容を自動で集計・表示します（編集不要）</t>
        </is>
      </c>
    </row>
    <row r="7" ht="22" customHeight="1">
      <c r="B7" s="3" t="inlineStr">
        <is>
          <t xml:space="preserve">  基本情報</t>
        </is>
      </c>
    </row>
    <row r="8" ht="22" customHeight="1">
      <c r="B8" s="6" t="inlineStr">
        <is>
          <t>会社名 / 個人名</t>
        </is>
      </c>
      <c r="C8" s="22">
        <f>IFERROR('ヒアリングシート'!C8,"")</f>
        <v/>
      </c>
    </row>
    <row r="9" ht="22" customHeight="1">
      <c r="B9" s="6" t="inlineStr">
        <is>
          <t>担当者名</t>
        </is>
      </c>
      <c r="C9" s="23">
        <f>IFERROR('ヒアリングシート'!C9,"")</f>
        <v/>
      </c>
    </row>
    <row r="10" ht="22" customHeight="1">
      <c r="B10" s="6" t="inlineStr">
        <is>
          <t>メールアドレス</t>
        </is>
      </c>
      <c r="C10" s="23">
        <f>IFERROR('ヒアリングシート'!C10,"")</f>
        <v/>
      </c>
    </row>
    <row r="11" ht="22" customHeight="1">
      <c r="B11" s="6" t="inlineStr">
        <is>
          <t>電話番号</t>
        </is>
      </c>
      <c r="C11" s="23">
        <f>IFERROR('ヒアリングシート'!C11,"")</f>
        <v/>
      </c>
    </row>
    <row r="12" ht="22" customHeight="1">
      <c r="B12" s="6" t="inlineStr">
        <is>
          <t>ヒアリング実施日</t>
        </is>
      </c>
      <c r="C12" s="23">
        <f>IFERROR(TEXT('ヒアリングシート'!C12,"YYYY/MM/DD"),"")</f>
        <v/>
      </c>
    </row>
    <row r="13" ht="22" customHeight="1">
      <c r="B13" s="6" t="inlineStr">
        <is>
          <t>希望納期</t>
        </is>
      </c>
      <c r="C13" s="22">
        <f>IFERROR(TEXT('ヒアリングシート'!F12,"YYYY/MM/DD"),"")</f>
        <v/>
      </c>
    </row>
    <row r="14" ht="22" customHeight="1">
      <c r="B14" s="6" t="inlineStr">
        <is>
          <t>ご予算（目安）</t>
        </is>
      </c>
      <c r="C14" s="22">
        <f>IFERROR('ヒアリングシート'!C13,"")</f>
        <v/>
      </c>
    </row>
    <row r="15" ht="22" customHeight="1">
      <c r="B15" s="6" t="inlineStr">
        <is>
          <t>依頼の目的・ゴール</t>
        </is>
      </c>
      <c r="C15" s="22">
        <f>IFERROR('ヒアリングシート'!C14,"")</f>
        <v/>
      </c>
    </row>
    <row r="17" ht="22" customHeight="1">
      <c r="B17" s="3" t="inlineStr">
        <is>
          <t xml:space="preserve">  制作依頼内容</t>
        </is>
      </c>
    </row>
    <row r="18" ht="22" customHeight="1">
      <c r="B18" s="6" t="inlineStr">
        <is>
          <t>重視ポイント</t>
        </is>
      </c>
      <c r="C18" s="22">
        <f>IFERROR('ヒアリングシート'!C17,"")</f>
        <v/>
      </c>
    </row>
    <row r="19" ht="22" customHeight="1">
      <c r="B19" s="6" t="inlineStr">
        <is>
          <t>制作範囲</t>
        </is>
      </c>
      <c r="C19" s="23">
        <f>IFERROR('ヒアリングシート'!C23,"")</f>
        <v/>
      </c>
    </row>
    <row r="20" ht="22" customHeight="1">
      <c r="B20" s="6" t="inlineStr">
        <is>
          <t>依頼内容</t>
        </is>
      </c>
      <c r="C20" s="23">
        <f>IFERROR('ヒアリングシート'!F23,"")</f>
        <v/>
      </c>
    </row>
    <row r="21" ht="22" customHeight="1">
      <c r="B21" s="6" t="inlineStr">
        <is>
          <t>LPの内容・概要</t>
        </is>
      </c>
      <c r="C21" s="23">
        <f>IFERROR('ヒアリングシート'!C24,"")</f>
        <v/>
      </c>
    </row>
    <row r="22" ht="22" customHeight="1">
      <c r="B22" s="6" t="inlineStr">
        <is>
          <t>機能実装</t>
        </is>
      </c>
      <c r="C22" s="23">
        <f>IFERROR('ヒアリングシート'!C26,"")</f>
        <v/>
      </c>
    </row>
    <row r="23" ht="22" customHeight="1">
      <c r="B23" s="6" t="inlineStr">
        <is>
          <t>希望する機能の詳細</t>
        </is>
      </c>
      <c r="C23" s="23">
        <f>IFERROR('ヒアリングシート'!C27,"")</f>
        <v/>
      </c>
    </row>
    <row r="24" ht="22" customHeight="1">
      <c r="B24" s="6" t="inlineStr">
        <is>
          <t>フォーム実装</t>
        </is>
      </c>
      <c r="C24" s="23">
        <f>IFERROR('ヒアリングシート'!C28,"")</f>
        <v/>
      </c>
    </row>
    <row r="25" ht="22" customHeight="1">
      <c r="B25" s="6" t="inlineStr">
        <is>
          <t>想定するCMS</t>
        </is>
      </c>
      <c r="C25" s="23">
        <f>IFERROR('ヒアリングシート'!F26,"")</f>
        <v/>
      </c>
    </row>
    <row r="26" ht="22" customHeight="1">
      <c r="B26" s="6" t="inlineStr">
        <is>
          <t>参考サイト</t>
        </is>
      </c>
      <c r="C26" s="23">
        <f>IFERROR('ヒアリングシート'!C29,"")</f>
        <v/>
      </c>
    </row>
    <row r="28" ht="22" customHeight="1">
      <c r="B28" s="3" t="inlineStr">
        <is>
          <t xml:space="preserve">  デザイン・技術環境</t>
        </is>
      </c>
    </row>
    <row r="29" ht="22" customHeight="1">
      <c r="B29" s="6" t="inlineStr">
        <is>
          <t>デザインスタイル</t>
        </is>
      </c>
      <c r="C29" s="23">
        <f>IFERROR('ヒアリングシート'!C32,"")</f>
        <v/>
      </c>
    </row>
    <row r="30" ht="22" customHeight="1">
      <c r="B30" s="6" t="inlineStr">
        <is>
          <t>アニメーション</t>
        </is>
      </c>
      <c r="C30" s="23">
        <f>IFERROR('ヒアリングシート'!F32,"")</f>
        <v/>
      </c>
    </row>
    <row r="31" ht="22" customHeight="1">
      <c r="B31" s="6" t="inlineStr">
        <is>
          <t>クオリティーレベル</t>
        </is>
      </c>
      <c r="C31" s="23">
        <f>IFERROR('ヒアリングシート'!C33,"")</f>
        <v/>
      </c>
    </row>
    <row r="32" ht="22" customHeight="1">
      <c r="B32" s="6" t="inlineStr">
        <is>
          <t>公開後の運用</t>
        </is>
      </c>
      <c r="C32" s="23">
        <f>IFERROR('ヒアリングシート'!C36,"")</f>
        <v/>
      </c>
    </row>
    <row r="33" ht="22" customHeight="1">
      <c r="B33" s="6" t="inlineStr">
        <is>
          <t>アフターサポート</t>
        </is>
      </c>
      <c r="C33" s="23">
        <f>IFERROR('ヒアリングシート'!F36,"")</f>
        <v/>
      </c>
    </row>
    <row r="34" ht="22" customHeight="1">
      <c r="B34" s="6" t="inlineStr">
        <is>
          <t>ドメイン・サーバー</t>
        </is>
      </c>
      <c r="C34" s="23">
        <f>IFERROR('ヒアリングシート'!C39,"")</f>
        <v/>
      </c>
    </row>
    <row r="35" ht="22" customHeight="1">
      <c r="B35" s="6" t="inlineStr">
        <is>
          <t>SEO対策</t>
        </is>
      </c>
      <c r="C35" s="23">
        <f>IFERROR('ヒアリングシート'!F39,"")</f>
        <v/>
      </c>
    </row>
    <row r="36" ht="22" customHeight="1">
      <c r="B36" s="6" t="inlineStr">
        <is>
          <t>SNS連携</t>
        </is>
      </c>
      <c r="C36" s="23">
        <f>IFERROR('ヒアリングシート'!C40,"")</f>
        <v/>
      </c>
    </row>
    <row r="38" ht="22" customHeight="1">
      <c r="B38" s="3" t="inlineStr">
        <is>
          <t xml:space="preserve">  素材・準備状況</t>
        </is>
      </c>
    </row>
    <row r="39" ht="22" customHeight="1">
      <c r="B39" s="6" t="inlineStr">
        <is>
          <t>テキスト原稿</t>
        </is>
      </c>
      <c r="C39" s="23">
        <f>IFERROR('ヒアリングシート'!C20,"")</f>
        <v/>
      </c>
    </row>
    <row r="40" ht="22" customHeight="1">
      <c r="B40" s="6" t="inlineStr">
        <is>
          <t>写真・ロゴ等の素材</t>
        </is>
      </c>
      <c r="C40" s="23">
        <f>IFERROR('ヒアリングシート'!F20,"")</f>
        <v/>
      </c>
    </row>
    <row r="42" ht="22" customHeight="1">
      <c r="B42" s="3" t="inlineStr">
        <is>
          <t xml:space="preserve">  備考・その他ご要望</t>
        </is>
      </c>
    </row>
    <row r="43" ht="60" customHeight="1">
      <c r="B43" s="24" t="inlineStr">
        <is>
          <t>その他ご要望・補足</t>
        </is>
      </c>
      <c r="C43" s="25">
        <f>IFERROR('ヒアリングシート'!C43,"")</f>
        <v/>
      </c>
    </row>
    <row r="45" ht="22" customHeight="1">
      <c r="B45" s="15" t="inlineStr">
        <is>
          <t xml:space="preserve">  入力ステータス</t>
        </is>
      </c>
    </row>
    <row r="46" ht="36" customHeight="1">
      <c r="B46" s="26">
        <f>IFERROR('ヒアリングシート'!E49,"")</f>
        <v/>
      </c>
    </row>
  </sheetData>
  <mergeCells count="37">
    <mergeCell ref="B7:F7"/>
    <mergeCell ref="C23:F23"/>
    <mergeCell ref="C39:F39"/>
    <mergeCell ref="C8:F8"/>
    <mergeCell ref="B46:F46"/>
    <mergeCell ref="B1:F4"/>
    <mergeCell ref="C32:F32"/>
    <mergeCell ref="C19:F19"/>
    <mergeCell ref="C13:F13"/>
    <mergeCell ref="C18:F18"/>
    <mergeCell ref="C34:F34"/>
    <mergeCell ref="B42:F42"/>
    <mergeCell ref="C30:F30"/>
    <mergeCell ref="C15:F15"/>
    <mergeCell ref="C33:F33"/>
    <mergeCell ref="C24:F24"/>
    <mergeCell ref="B17:F17"/>
    <mergeCell ref="C14:F14"/>
    <mergeCell ref="B38:F38"/>
    <mergeCell ref="C35:F35"/>
    <mergeCell ref="C20:F20"/>
    <mergeCell ref="C26:F26"/>
    <mergeCell ref="B28:F28"/>
    <mergeCell ref="C29:F29"/>
    <mergeCell ref="C25:F25"/>
    <mergeCell ref="C10:F10"/>
    <mergeCell ref="C22:F22"/>
    <mergeCell ref="C40:F40"/>
    <mergeCell ref="C9:F9"/>
    <mergeCell ref="C31:F31"/>
    <mergeCell ref="C43:F43"/>
    <mergeCell ref="C12:F12"/>
    <mergeCell ref="B5:F5"/>
    <mergeCell ref="C21:F21"/>
    <mergeCell ref="B45:F45"/>
    <mergeCell ref="C11:F11"/>
    <mergeCell ref="C36:F36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00C8A84B"/>
    <outlinePr summaryBelow="1" summaryRight="1"/>
    <pageSetUpPr/>
  </sheetPr>
  <dimension ref="B1:F38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4" customWidth="1" min="2" max="2"/>
    <col width="36" customWidth="1" min="3" max="3"/>
    <col width="3" customWidth="1" min="4" max="4"/>
    <col width="24" customWidth="1" min="5" max="5"/>
    <col width="36" customWidth="1" min="6" max="6"/>
    <col width="1.5" customWidth="1" min="7" max="7"/>
  </cols>
  <sheetData>
    <row r="1" ht="18" customHeight="1">
      <c r="B1" s="27" t="inlineStr">
        <is>
          <t>マスターデータ  ／  選択肢・定義一覧</t>
        </is>
      </c>
    </row>
    <row r="2" ht="18" customHeight="1"/>
    <row r="3" ht="18" customHeight="1"/>
    <row r="4" ht="18" customHeight="1"/>
    <row r="5" ht="16" customHeight="1">
      <c r="B5" s="21" t="inlineStr">
        <is>
          <t>各項目の選択肢と定義を管理するシートです（必要に応じて編集可）</t>
        </is>
      </c>
    </row>
    <row r="7" ht="22" customHeight="1">
      <c r="B7" s="28" t="inlineStr">
        <is>
          <t>優先度（重視ポイント）</t>
        </is>
      </c>
      <c r="E7" s="28" t="inlineStr">
        <is>
          <t>アニメーション</t>
        </is>
      </c>
    </row>
    <row r="8" ht="18" customHeight="1">
      <c r="B8" s="29" t="inlineStr">
        <is>
          <t>クオリティー</t>
        </is>
      </c>
      <c r="C8" s="30" t="inlineStr">
        <is>
          <t>仕上がりの質・完成度を最優先</t>
        </is>
      </c>
      <c r="E8" s="29" t="inlineStr">
        <is>
          <t>ダイナミックアニメーション（かなり動きます）</t>
        </is>
      </c>
      <c r="F8" s="30" t="inlineStr">
        <is>
          <t>スクロールアニメーション等を多用</t>
        </is>
      </c>
    </row>
    <row r="9" ht="18" customHeight="1">
      <c r="B9" s="29" t="inlineStr">
        <is>
          <t>コスト</t>
        </is>
      </c>
      <c r="C9" s="30" t="inlineStr">
        <is>
          <t>予算内での最大効果を優先</t>
        </is>
      </c>
      <c r="E9" s="29" t="inlineStr">
        <is>
          <t>少なめ</t>
        </is>
      </c>
      <c r="F9" s="30" t="inlineStr">
        <is>
          <t>控えめなアニメーション</t>
        </is>
      </c>
    </row>
    <row r="10" ht="18" customHeight="1">
      <c r="B10" s="29" t="inlineStr">
        <is>
          <t>速さ</t>
        </is>
      </c>
      <c r="C10" s="30" t="inlineStr">
        <is>
          <t>納期・スピードを最優先</t>
        </is>
      </c>
      <c r="E10" s="29" t="inlineStr">
        <is>
          <t>お任せ</t>
        </is>
      </c>
      <c r="F10" s="30" t="inlineStr">
        <is>
          <t>制作者に一任</t>
        </is>
      </c>
    </row>
    <row r="11" ht="18" customHeight="1">
      <c r="B11" s="29" t="inlineStr">
        <is>
          <t>機能性</t>
        </is>
      </c>
      <c r="C11" s="30" t="inlineStr">
        <is>
          <t>機能・操作性を最優先</t>
        </is>
      </c>
      <c r="E11" s="29" t="inlineStr">
        <is>
          <t>無し</t>
        </is>
      </c>
      <c r="F11" s="30" t="inlineStr">
        <is>
          <t>アニメーションなし</t>
        </is>
      </c>
    </row>
    <row r="13" ht="22" customHeight="1">
      <c r="B13" s="28" t="inlineStr">
        <is>
          <t>制作範囲</t>
        </is>
      </c>
      <c r="E13" s="28" t="inlineStr">
        <is>
          <t>クオリティーレベル</t>
        </is>
      </c>
    </row>
    <row r="14" ht="18" customHeight="1">
      <c r="B14" s="29" t="inlineStr">
        <is>
          <t>新規制作</t>
        </is>
      </c>
      <c r="C14" s="30" t="inlineStr">
        <is>
          <t>ゼロから新しく制作</t>
        </is>
      </c>
      <c r="E14" s="29" t="inlineStr">
        <is>
          <t>ハイクオリティー（ダイナミックアニメーションや機能性LP）</t>
        </is>
      </c>
      <c r="F14" s="30" t="inlineStr">
        <is>
          <t>最高品質・高度な実装</t>
        </is>
      </c>
    </row>
    <row r="15" ht="18" customHeight="1">
      <c r="B15" s="29" t="inlineStr">
        <is>
          <t>リニューアル</t>
        </is>
      </c>
      <c r="C15" s="30" t="inlineStr">
        <is>
          <t>既存サイトを全面刷新</t>
        </is>
      </c>
      <c r="E15" s="29" t="inlineStr">
        <is>
          <t>NORMAL</t>
        </is>
      </c>
      <c r="F15" s="30" t="inlineStr">
        <is>
          <t>標準的な品質</t>
        </is>
      </c>
    </row>
    <row r="16" ht="18" customHeight="1">
      <c r="B16" s="29" t="inlineStr">
        <is>
          <t>一部修正</t>
        </is>
      </c>
      <c r="C16" s="30" t="inlineStr">
        <is>
          <t>既存サイトの一部を変更</t>
        </is>
      </c>
      <c r="E16" s="29" t="inlineStr">
        <is>
          <t>画像ベース</t>
        </is>
      </c>
      <c r="F16" s="30" t="inlineStr">
        <is>
          <t>画像中心のシンプルな実装</t>
        </is>
      </c>
    </row>
    <row r="18" ht="22" customHeight="1">
      <c r="B18" s="28" t="inlineStr">
        <is>
          <t>想定CMS</t>
        </is>
      </c>
      <c r="E18" s="28" t="inlineStr">
        <is>
          <t>公開後の運用</t>
        </is>
      </c>
    </row>
    <row r="19" ht="18" customHeight="1">
      <c r="B19" s="29" t="inlineStr">
        <is>
          <t>WordPress</t>
        </is>
      </c>
      <c r="C19" s="30" t="inlineStr">
        <is>
          <t>世界シェアNo.1のCMS</t>
        </is>
      </c>
      <c r="E19" s="29" t="inlineStr">
        <is>
          <t>自社で更新したい</t>
        </is>
      </c>
      <c r="F19" s="30" t="inlineStr">
        <is>
          <t>クライアントが自社で更新</t>
        </is>
      </c>
    </row>
    <row r="20" ht="18" customHeight="1">
      <c r="B20" s="29" t="inlineStr">
        <is>
          <t>Shopify</t>
        </is>
      </c>
      <c r="C20" s="30" t="inlineStr">
        <is>
          <t>ECに特化したプラットフォーム</t>
        </is>
      </c>
      <c r="E20" s="29" t="inlineStr">
        <is>
          <t>運用も依頼したい</t>
        </is>
      </c>
      <c r="F20" s="30" t="inlineStr">
        <is>
          <t>制作会社に運用を委託</t>
        </is>
      </c>
    </row>
    <row r="21" ht="18" customHeight="1">
      <c r="B21" s="29" t="inlineStr">
        <is>
          <t>MakeShop</t>
        </is>
      </c>
      <c r="C21" s="30" t="inlineStr">
        <is>
          <t>国産ECプラットフォーム</t>
        </is>
      </c>
      <c r="E21" s="29" t="inlineStr">
        <is>
          <t>未定</t>
        </is>
      </c>
      <c r="F21" s="30" t="inlineStr">
        <is>
          <t>運用方針が未決定</t>
        </is>
      </c>
    </row>
    <row r="22" ht="18" customHeight="1">
      <c r="B22" s="29" t="inlineStr">
        <is>
          <t>Wix</t>
        </is>
      </c>
      <c r="C22" s="30" t="inlineStr">
        <is>
          <t>ノーコードWebサイトビルダー</t>
        </is>
      </c>
    </row>
    <row r="23" ht="22" customHeight="1">
      <c r="B23" s="29" t="inlineStr">
        <is>
          <t>STUDIO</t>
        </is>
      </c>
      <c r="C23" s="30" t="inlineStr">
        <is>
          <t>国産ノーコードデザインツール</t>
        </is>
      </c>
      <c r="E23" s="28" t="inlineStr">
        <is>
          <t>ドメイン・サーバー</t>
        </is>
      </c>
    </row>
    <row r="24" ht="18" customHeight="1">
      <c r="B24" s="29" t="inlineStr">
        <is>
          <t>不明</t>
        </is>
      </c>
      <c r="C24" s="30" t="inlineStr">
        <is>
          <t>CMSが未決定・不明</t>
        </is>
      </c>
      <c r="E24" s="29" t="inlineStr">
        <is>
          <t>取得・契約済み</t>
        </is>
      </c>
      <c r="F24" s="30" t="inlineStr">
        <is>
          <t>既にドメイン・サーバーを保有</t>
        </is>
      </c>
    </row>
    <row r="25" ht="18" customHeight="1">
      <c r="B25" s="29" t="inlineStr">
        <is>
          <t>その他</t>
        </is>
      </c>
      <c r="C25" s="30" t="inlineStr">
        <is>
          <t>上記以外のCMS</t>
        </is>
      </c>
      <c r="E25" s="29" t="inlineStr">
        <is>
          <t>未取得（依頼希望）</t>
        </is>
      </c>
      <c r="F25" s="30" t="inlineStr">
        <is>
          <t>取得・契約を制作会社に依頼</t>
        </is>
      </c>
    </row>
    <row r="26" ht="18" customHeight="1">
      <c r="E26" s="29" t="inlineStr">
        <is>
          <t>不明</t>
        </is>
      </c>
      <c r="F26" s="30" t="inlineStr">
        <is>
          <t>状況が不明</t>
        </is>
      </c>
    </row>
    <row r="27" ht="22" customHeight="1">
      <c r="B27" s="28" t="inlineStr">
        <is>
          <t>デザインスタイル</t>
        </is>
      </c>
    </row>
    <row r="28" ht="22" customHeight="1">
      <c r="B28" s="29" t="inlineStr">
        <is>
          <t>シンプル</t>
        </is>
      </c>
      <c r="C28" s="30" t="inlineStr">
        <is>
          <t>余白を活かしたミニマルデザイン</t>
        </is>
      </c>
      <c r="E28" s="28" t="inlineStr">
        <is>
          <t>SNS連携</t>
        </is>
      </c>
    </row>
    <row r="29" ht="18" customHeight="1">
      <c r="B29" s="29" t="inlineStr">
        <is>
          <t>高級感</t>
        </is>
      </c>
      <c r="C29" s="30" t="inlineStr">
        <is>
          <t>上質・プレミアム感のあるデザイン</t>
        </is>
      </c>
      <c r="E29" s="29" t="inlineStr">
        <is>
          <t>Instagram</t>
        </is>
      </c>
      <c r="F29" s="30" t="inlineStr">
        <is>
          <t>Instagramフィード・リンク連携</t>
        </is>
      </c>
    </row>
    <row r="30" ht="18" customHeight="1">
      <c r="B30" s="29" t="inlineStr">
        <is>
          <t>ポップ</t>
        </is>
      </c>
      <c r="C30" s="30" t="inlineStr">
        <is>
          <t>カラフルで明るいデザイン</t>
        </is>
      </c>
      <c r="E30" s="29" t="inlineStr">
        <is>
          <t>X（旧Twitter）</t>
        </is>
      </c>
      <c r="F30" s="30" t="inlineStr">
        <is>
          <t>Xフィード・リンク連携</t>
        </is>
      </c>
    </row>
    <row r="31" ht="18" customHeight="1">
      <c r="B31" s="29" t="inlineStr">
        <is>
          <t>ナチュラル</t>
        </is>
      </c>
      <c r="C31" s="30" t="inlineStr">
        <is>
          <t>温かみのある自然系デザイン</t>
        </is>
      </c>
      <c r="E31" s="29" t="inlineStr">
        <is>
          <t>Facebook</t>
        </is>
      </c>
      <c r="F31" s="30" t="inlineStr">
        <is>
          <t>Facebookページ連携</t>
        </is>
      </c>
    </row>
    <row r="32" ht="18" customHeight="1">
      <c r="B32" s="29" t="inlineStr">
        <is>
          <t>クール</t>
        </is>
      </c>
      <c r="C32" s="30" t="inlineStr">
        <is>
          <t>スタイリッシュでモダンなデザイン</t>
        </is>
      </c>
      <c r="E32" s="29" t="inlineStr">
        <is>
          <t>LINE</t>
        </is>
      </c>
      <c r="F32" s="30" t="inlineStr">
        <is>
          <t>LINE公式アカウント連携</t>
        </is>
      </c>
    </row>
    <row r="33" ht="18" customHeight="1">
      <c r="B33" s="29" t="inlineStr">
        <is>
          <t>未定</t>
        </is>
      </c>
      <c r="C33" s="30" t="inlineStr">
        <is>
          <t>デザイン方向性が未決定</t>
        </is>
      </c>
      <c r="E33" s="29" t="inlineStr">
        <is>
          <t>Instagram＋X</t>
        </is>
      </c>
      <c r="F33" s="30" t="inlineStr">
        <is>
          <t>Instagram＋X両方</t>
        </is>
      </c>
    </row>
    <row r="34" ht="18" customHeight="1">
      <c r="E34" s="29" t="inlineStr">
        <is>
          <t>Instagram＋LINE</t>
        </is>
      </c>
      <c r="F34" s="30" t="inlineStr">
        <is>
          <t>Instagram＋LINE両方</t>
        </is>
      </c>
    </row>
    <row r="35" ht="18" customHeight="1">
      <c r="B35" s="28" t="inlineStr">
        <is>
          <t>SEO対策</t>
        </is>
      </c>
      <c r="E35" s="29" t="inlineStr">
        <is>
          <t>その他</t>
        </is>
      </c>
      <c r="F35" s="30" t="inlineStr">
        <is>
          <t>上記以外のSNS</t>
        </is>
      </c>
    </row>
    <row r="36" ht="18" customHeight="1">
      <c r="B36" s="29" t="inlineStr">
        <is>
          <t>強く希望する</t>
        </is>
      </c>
      <c r="C36" s="30" t="inlineStr">
        <is>
          <t>SEO施策を積極的に実施</t>
        </is>
      </c>
      <c r="E36" s="29" t="inlineStr">
        <is>
          <t>不要</t>
        </is>
      </c>
      <c r="F36" s="30" t="inlineStr">
        <is>
          <t>SNS連携なし</t>
        </is>
      </c>
    </row>
    <row r="37" ht="18" customHeight="1">
      <c r="B37" s="29" t="inlineStr">
        <is>
          <t>最低限でよい</t>
        </is>
      </c>
      <c r="C37" s="30" t="inlineStr">
        <is>
          <t>基本的なSEO設定のみ</t>
        </is>
      </c>
    </row>
    <row r="38" ht="18" customHeight="1">
      <c r="B38" s="29" t="inlineStr">
        <is>
          <t>不要</t>
        </is>
      </c>
      <c r="C38" s="30" t="inlineStr">
        <is>
          <t>SEO対策は不要</t>
        </is>
      </c>
    </row>
  </sheetData>
  <mergeCells count="12">
    <mergeCell ref="B13:C13"/>
    <mergeCell ref="B7:C7"/>
    <mergeCell ref="E7:F7"/>
    <mergeCell ref="B27:C27"/>
    <mergeCell ref="B5:F5"/>
    <mergeCell ref="E28:F28"/>
    <mergeCell ref="E23:F23"/>
    <mergeCell ref="E13:F13"/>
    <mergeCell ref="B1:F4"/>
    <mergeCell ref="B18:C18"/>
    <mergeCell ref="E18:F18"/>
    <mergeCell ref="B35:C3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2026-03-01T04:37:42Z</dcterms:created>
  <dcterms:modified xmlns:dcterms="http://purl.org/dc/terms/" xmlns:xsi="http://www.w3.org/2001/XMLSchema-instance" xsi:type="dcterms:W3CDTF">2026-03-01T04:37:42Z</dcterms:modified>
</cp:coreProperties>
</file>